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wang\PythonDev\ETABS Model Generator\"/>
    </mc:Choice>
  </mc:AlternateContent>
  <xr:revisionPtr revIDLastSave="0" documentId="13_ncr:1_{2EF34643-3904-4EC7-8DF3-A0FD9F3DB008}" xr6:coauthVersionLast="47" xr6:coauthVersionMax="47" xr10:uidLastSave="{00000000-0000-0000-0000-000000000000}"/>
  <bookViews>
    <workbookView xWindow="0" yWindow="0" windowWidth="15360" windowHeight="16680" xr2:uid="{1DEA2924-0C91-45A9-84B6-568DDC719777}"/>
  </bookViews>
  <sheets>
    <sheet name="Input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5" l="1"/>
  <c r="E13" i="5"/>
  <c r="E12" i="5"/>
  <c r="E11" i="5"/>
  <c r="E10" i="5"/>
  <c r="E9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8" i="5"/>
  <c r="C39" i="5" l="1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3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tc={F429E08A-AA1F-4133-8649-73B54E10BF44}</author>
    <author>tc={3F6337C1-FA68-460E-B5D1-F642E712ECC9}</author>
    <author>tc={E98BF934-99F2-45F5-B266-B60879BD2C7D}</author>
    <author>tc={26602CC1-D9DA-42ED-88DD-B683FE710EED}</author>
    <author>tc={1F942A2F-57CB-49B2-A3CD-4A24BF3328B3}</author>
    <author>tc={5A7CA3BA-9442-46A6-8B04-958B064B6C44}</author>
    <author>tc={A48483B8-D387-4C12-8C12-32690DA02904}</author>
    <author>tc={27877FB3-C2A6-45FB-A8EA-427CF95FD95A}</author>
  </authors>
  <commentList>
    <comment ref="N5" authorId="0" shapeId="0" xr:uid="{F429E08A-AA1F-4133-8649-73B54E10BF44}">
      <text>
        <t>[Threaded comment]
Your version of Excel allows you to read this threaded comment; however, any edits to it will get removed if the file is opened in a newer version of Excel. Learn more: https://go.microsoft.com/fwlink/?linkid=870924
Comment:
    Frame sections must exist in the seed model! If not, please add the desired section before running ModelGenerator.</t>
      </text>
    </comment>
    <comment ref="T5" authorId="1" shapeId="0" xr:uid="{3F6337C1-FA68-460E-B5D1-F642E712ECC9}">
      <text>
        <t>[Threaded comment]
Your version of Excel allows you to read this threaded comment; however, any edits to it will get removed if the file is opened in a newer version of Excel. Learn more: https://go.microsoft.com/fwlink/?linkid=870924
Comment:
    Horizontal grids spanning East-West shall have numeric labels from 1 to 25.</t>
      </text>
    </comment>
    <comment ref="V5" authorId="2" shapeId="0" xr:uid="{E98BF934-99F2-45F5-B266-B60879BD2C7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Vertical grids spanning North-South shall have alphabetical labels from A to Y.
</t>
      </text>
    </comment>
    <comment ref="H6" authorId="3" shapeId="0" xr:uid="{26602CC1-D9DA-42ED-88DD-B683FE710EED}">
      <text>
        <t>[Threaded comment]
Your version of Excel allows you to read this threaded comment; however, any edits to it will get removed if the file is opened in a newer version of Excel. Learn more: https://go.microsoft.com/fwlink/?linkid=870924
Comment:
    Cladding load will be converted to an effective area load (psf). 
Psf = Perimeter * plf / area</t>
      </text>
    </comment>
    <comment ref="I6" authorId="4" shapeId="0" xr:uid="{1F942A2F-57CB-49B2-A3CD-4A24BF3328B3}">
      <text>
        <t>[Threaded comment]
Your version of Excel allows you to read this threaded comment; however, any edits to it will get removed if the file is opened in a newer version of Excel. Learn more: https://go.microsoft.com/fwlink/?linkid=870924
Comment:
    (x,y) coordinate separated by semi-colons. No space. Last vertex does not repeat first.</t>
      </text>
    </comment>
    <comment ref="T35" authorId="5" shapeId="0" xr:uid="{5A7CA3BA-9442-46A6-8B04-958B064B6C44}">
      <text>
        <t>[Threaded comment]
Your version of Excel allows you to read this threaded comment; however, any edits to it will get removed if the file is opened in a newer version of Excel. Learn more: https://go.microsoft.com/fwlink/?linkid=870924
Comment:
    Frame sections must exist in the seed model! If not, please add the desired section before running ModelGenerator.</t>
      </text>
    </comment>
    <comment ref="Y35" authorId="6" shapeId="0" xr:uid="{A48483B8-D387-4C12-8C12-32690DA02904}">
      <text>
        <t>[Threaded comment]
Your version of Excel allows you to read this threaded comment; however, any edits to it will get removed if the file is opened in a newer version of Excel. Learn more: https://go.microsoft.com/fwlink/?linkid=870924
Comment:
    Frame sections must exist in the seed model! If not, please add the desired section before running ModelGenerator.</t>
      </text>
    </comment>
    <comment ref="AD35" authorId="7" shapeId="0" xr:uid="{27877FB3-C2A6-45FB-A8EA-427CF95FD95A}">
      <text>
        <t>[Threaded comment]
Your version of Excel allows you to read this threaded comment; however, any edits to it will get removed if the file is opened in a newer version of Excel. Learn more: https://go.microsoft.com/fwlink/?linkid=870924
Comment:
    Wall sections must exist in the seed model! If not, please add the desired section before running ModelGenerator.</t>
      </text>
    </comment>
  </commentList>
</comments>
</file>

<file path=xl/sharedStrings.xml><?xml version="1.0" encoding="utf-8"?>
<sst xmlns="http://schemas.openxmlformats.org/spreadsheetml/2006/main" count="514" uniqueCount="151">
  <si>
    <t>Column</t>
  </si>
  <si>
    <t>ETABS Model Generator</t>
  </si>
  <si>
    <t>Floor</t>
  </si>
  <si>
    <t>Story Height</t>
  </si>
  <si>
    <t>Elevation</t>
  </si>
  <si>
    <t>Name</t>
  </si>
  <si>
    <t>[ft]</t>
  </si>
  <si>
    <t>Level 7</t>
  </si>
  <si>
    <t>Level 6</t>
  </si>
  <si>
    <t>Level 5</t>
  </si>
  <si>
    <t>Level 4</t>
  </si>
  <si>
    <t>Level 3</t>
  </si>
  <si>
    <t>Level 2</t>
  </si>
  <si>
    <t>Level 17</t>
  </si>
  <si>
    <t>Level 16</t>
  </si>
  <si>
    <t>Level 15</t>
  </si>
  <si>
    <t>Level 14</t>
  </si>
  <si>
    <t>Level 13</t>
  </si>
  <si>
    <t>Level 12</t>
  </si>
  <si>
    <t>Level 11</t>
  </si>
  <si>
    <t>Level 10</t>
  </si>
  <si>
    <t>Level 9</t>
  </si>
  <si>
    <t>Level 8</t>
  </si>
  <si>
    <t>SDL</t>
  </si>
  <si>
    <t>[psf]</t>
  </si>
  <si>
    <t>Live Load</t>
  </si>
  <si>
    <t>Section</t>
  </si>
  <si>
    <t>W36X361</t>
  </si>
  <si>
    <t>W30X173</t>
  </si>
  <si>
    <t>W24X68</t>
  </si>
  <si>
    <t>W18X35</t>
  </si>
  <si>
    <t>W14X311</t>
  </si>
  <si>
    <t>W14X145</t>
  </si>
  <si>
    <t>A</t>
  </si>
  <si>
    <t>J</t>
  </si>
  <si>
    <t>Columns</t>
  </si>
  <si>
    <t>[lbs/ft]</t>
  </si>
  <si>
    <t>Floor Plate</t>
  </si>
  <si>
    <t>Polygon</t>
  </si>
  <si>
    <t>Slab</t>
  </si>
  <si>
    <t>Floor Elevations</t>
  </si>
  <si>
    <t>Grid System</t>
  </si>
  <si>
    <t>B</t>
  </si>
  <si>
    <t>C</t>
  </si>
  <si>
    <t>D</t>
  </si>
  <si>
    <t>E</t>
  </si>
  <si>
    <t>F</t>
  </si>
  <si>
    <t>G</t>
  </si>
  <si>
    <t>H</t>
  </si>
  <si>
    <t>I</t>
  </si>
  <si>
    <t>K</t>
  </si>
  <si>
    <t>X</t>
  </si>
  <si>
    <t>Y</t>
  </si>
  <si>
    <t>Beams</t>
  </si>
  <si>
    <t>Config</t>
  </si>
  <si>
    <t>Seismic Force Resisting System Settings</t>
  </si>
  <si>
    <t>Girder</t>
  </si>
  <si>
    <t>Beam</t>
  </si>
  <si>
    <t>Gravity Memebers</t>
  </si>
  <si>
    <t>Braces</t>
  </si>
  <si>
    <t>Bay</t>
  </si>
  <si>
    <t>Lateral Bay Locations (e.g. "1;B-C" = on grid 1, from B to C)</t>
  </si>
  <si>
    <t>Global Model Settings</t>
  </si>
  <si>
    <t>Rigid</t>
  </si>
  <si>
    <t>Diaphragm Type</t>
  </si>
  <si>
    <t>Base Fixity</t>
  </si>
  <si>
    <t>Fixed</t>
  </si>
  <si>
    <t>Enable Rigid End Offset</t>
  </si>
  <si>
    <t># of Infill beams</t>
  </si>
  <si>
    <t>Moment Frames</t>
  </si>
  <si>
    <t>Walls</t>
  </si>
  <si>
    <t>Spreadsheet Folder</t>
  </si>
  <si>
    <t>C:\Users\rwang\PythonDev\ETABS Model Generator</t>
  </si>
  <si>
    <t>Python venv Folder</t>
  </si>
  <si>
    <t>Python Settings</t>
  </si>
  <si>
    <t>C:\Users\rwang\PythonDev\ETABS Model Generator\.venv</t>
  </si>
  <si>
    <t>1</t>
  </si>
  <si>
    <t>2</t>
  </si>
  <si>
    <t>3</t>
  </si>
  <si>
    <t>4</t>
  </si>
  <si>
    <t>5</t>
  </si>
  <si>
    <t>6</t>
  </si>
  <si>
    <t>7</t>
  </si>
  <si>
    <t>8</t>
  </si>
  <si>
    <t>(0,744);(3720,744);(3720,2604);(0,2604)</t>
  </si>
  <si>
    <t>(0,0);(3720,0);(3720,2604);(0,2604)</t>
  </si>
  <si>
    <t>(0,744);(3720,744);(3720,2604); (0,2604)</t>
  </si>
  <si>
    <t>W3+4.5NWC</t>
  </si>
  <si>
    <t>W3+3.25LWC</t>
  </si>
  <si>
    <t>Label</t>
  </si>
  <si>
    <t>Horizontal</t>
  </si>
  <si>
    <t>Y Ordinate</t>
  </si>
  <si>
    <t>Vertical</t>
  </si>
  <si>
    <t>X Ordinate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</si>
  <si>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</si>
  <si>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</si>
  <si>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</si>
  <si>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</si>
  <si>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</si>
  <si>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</si>
  <si>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</si>
  <si>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</si>
  <si>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</si>
  <si>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</si>
  <si>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V</t>
  </si>
  <si>
    <t>L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</si>
  <si>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</si>
  <si>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</si>
  <si>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</si>
  <si>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</si>
  <si>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</si>
  <si>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</si>
  <si>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</si>
  <si>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</si>
  <si>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</si>
  <si>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</si>
  <si>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</si>
  <si>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</si>
  <si>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</si>
  <si>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</si>
  <si>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</si>
  <si>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</si>
  <si>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</si>
  <si>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8;B-E</t>
  </si>
  <si>
    <t>8;G-J</t>
  </si>
  <si>
    <t>7;C-E</t>
  </si>
  <si>
    <t>7;G-I</t>
  </si>
  <si>
    <t>4;C-E</t>
  </si>
  <si>
    <t>4;G-I</t>
  </si>
  <si>
    <t>3;B-E</t>
  </si>
  <si>
    <t>3;G-J</t>
  </si>
  <si>
    <t>A;3-7</t>
  </si>
  <si>
    <t>K;3-7</t>
  </si>
  <si>
    <t>B;4-7</t>
  </si>
  <si>
    <t>J;4-7</t>
  </si>
  <si>
    <t>F;4-7</t>
  </si>
  <si>
    <t>8;A-K</t>
  </si>
  <si>
    <t>1;C-E</t>
  </si>
  <si>
    <t>1;G-I</t>
  </si>
  <si>
    <t>A;1-7</t>
  </si>
  <si>
    <t>K;1-7</t>
  </si>
  <si>
    <t>F;1-7</t>
  </si>
  <si>
    <t>Cladding</t>
  </si>
  <si>
    <t>(Generate fully working ETABS model in ~ 40 seconds. Make sure you have the blank seed model open before running generation script)</t>
  </si>
  <si>
    <t>(Quickly update sections while keeping the generated geometry ~ 8 seconds. Do not use if you've modified connectivity/geometry)</t>
  </si>
  <si>
    <t>Things to do after generation:</t>
  </si>
  <si>
    <t>automeshing</t>
  </si>
  <si>
    <t>load definition</t>
  </si>
  <si>
    <t>pier and spandrel label refinement</t>
  </si>
  <si>
    <t>RSA function</t>
  </si>
  <si>
    <t>section size refinement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</si>
</sst>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Aptos Narrow"/>
      <family val="2"/>
    </font>
    <font>
      <b/>
      <sz val="11"/>
      <color rgb="FF3F3F3F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name val="Aptos Narrow"/>
      <family val="2"/>
      <scheme val="minor"/>
    </font>
    <font>
      <sz val="12"/>
      <color theme="1"/>
      <name val="Aptos"/>
      <family val="2"/>
    </font>
    <font>
      <sz val="11"/>
      <color rgb="FF0070C0"/>
      <name val="Aptos Narrow"/>
      <family val="2"/>
      <scheme val="minor"/>
    </font>
    <font>
      <b/>
      <u/>
      <sz val="12"/>
      <color theme="1"/>
      <name val="Aptos Display"/>
      <family val="2"/>
      <scheme val="major"/>
    </font>
    <font>
      <b/>
      <u/>
      <sz val="15"/>
      <color theme="3" tint="9.9948118533890809E-2"/>
      <name val="Aptos Display"/>
      <family val="2"/>
      <scheme val="major"/>
    </font>
    <font>
      <sz val="10"/>
      <color theme="0"/>
      <name val="Aptos Narrow"/>
      <family val="2"/>
    </font>
    <font>
      <sz val="8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sz val="11"/>
      <color theme="0" tint="-4.9989318521683403E-2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AFEC2"/>
        <bgColor indexed="64"/>
      </patternFill>
    </fill>
    <fill>
      <patternFill patternType="solid">
        <fgColor rgb="FF013053"/>
        <bgColor indexed="64"/>
      </patternFill>
    </fill>
  </fills>
  <borders count="2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10">
    <xf numFmtId="0" fontId="0" fillId="0" borderId="0"/>
    <xf numFmtId="0" fontId="7" fillId="0" borderId="0" applyNumberFormat="0" applyFill="0" applyAlignment="0" applyProtection="0"/>
    <xf numFmtId="0" fontId="6" fillId="0" borderId="0" applyNumberFormat="0" applyFill="0" applyAlignment="0" applyProtection="0"/>
    <xf numFmtId="0" fontId="6" fillId="0" borderId="0" applyNumberFormat="0" applyFill="0" applyAlignment="0" applyProtection="0"/>
    <xf numFmtId="0" fontId="5" fillId="2" borderId="4" applyNumberFormat="0" applyProtection="0">
      <alignment horizontal="center" vertical="center"/>
    </xf>
    <xf numFmtId="0" fontId="1" fillId="4" borderId="1" applyNumberFormat="0" applyAlignment="0" applyProtection="0"/>
    <xf numFmtId="0" fontId="3" fillId="3" borderId="4" applyNumberFormat="0" applyFill="0" applyProtection="0">
      <alignment horizontal="center" vertical="center"/>
    </xf>
    <xf numFmtId="0" fontId="4" fillId="0" borderId="0" applyNumberFormat="0" applyAlignment="0" applyProtection="0"/>
    <xf numFmtId="0" fontId="3" fillId="0" borderId="0" applyNumberFormat="0" applyFill="0" applyBorder="0" applyAlignment="0" applyProtection="0"/>
    <xf numFmtId="0" fontId="2" fillId="5" borderId="0" applyNumberFormat="0" applyAlignment="0" applyProtection="0"/>
  </cellStyleXfs>
  <cellXfs count="45">
    <xf numFmtId="0" fontId="0" fillId="0" borderId="0" xfId="0"/>
    <xf numFmtId="0" fontId="0" fillId="0" borderId="0" xfId="0" applyAlignment="1">
      <alignment horizontal="right"/>
    </xf>
    <xf numFmtId="0" fontId="0" fillId="0" borderId="5" xfId="0" applyBorder="1" applyAlignment="1">
      <alignment horizontal="center"/>
    </xf>
    <xf numFmtId="0" fontId="7" fillId="0" borderId="0" xfId="1"/>
    <xf numFmtId="0" fontId="6" fillId="0" borderId="0" xfId="2" applyFill="1" applyAlignment="1">
      <alignment horizontal="left"/>
    </xf>
    <xf numFmtId="0" fontId="8" fillId="5" borderId="7" xfId="9" applyFont="1" applyBorder="1" applyAlignment="1">
      <alignment horizontal="center"/>
    </xf>
    <xf numFmtId="0" fontId="8" fillId="5" borderId="8" xfId="9" applyFont="1" applyBorder="1" applyAlignment="1">
      <alignment horizontal="center"/>
    </xf>
    <xf numFmtId="0" fontId="5" fillId="2" borderId="4" xfId="4" applyAlignment="1"/>
    <xf numFmtId="0" fontId="5" fillId="2" borderId="4" xfId="4">
      <alignment horizontal="center" vertical="center"/>
    </xf>
    <xf numFmtId="0" fontId="0" fillId="0" borderId="5" xfId="0" applyBorder="1" applyAlignment="1">
      <alignment horizontal="left"/>
    </xf>
    <xf numFmtId="0" fontId="5" fillId="2" borderId="9" xfId="4" applyBorder="1">
      <alignment horizontal="center" vertical="center"/>
    </xf>
    <xf numFmtId="0" fontId="8" fillId="5" borderId="12" xfId="9" applyFont="1" applyBorder="1" applyAlignment="1">
      <alignment horizontal="center"/>
    </xf>
    <xf numFmtId="0" fontId="8" fillId="5" borderId="13" xfId="9" applyFont="1" applyBorder="1" applyAlignment="1">
      <alignment horizontal="center"/>
    </xf>
    <xf numFmtId="0" fontId="5" fillId="2" borderId="14" xfId="4" applyBorder="1">
      <alignment horizontal="center" vertical="center"/>
    </xf>
    <xf numFmtId="0" fontId="5" fillId="2" borderId="15" xfId="4" applyBorder="1">
      <alignment horizontal="center" vertical="center"/>
    </xf>
    <xf numFmtId="0" fontId="8" fillId="5" borderId="18" xfId="9" applyFont="1" applyBorder="1" applyAlignment="1">
      <alignment horizontal="center"/>
    </xf>
    <xf numFmtId="0" fontId="11" fillId="0" borderId="0" xfId="0" applyFont="1"/>
    <xf numFmtId="0" fontId="5" fillId="2" borderId="4" xfId="4" applyAlignment="1">
      <alignment horizontal="left" vertical="center"/>
    </xf>
    <xf numFmtId="0" fontId="0" fillId="0" borderId="0" xfId="0" quotePrefix="1"/>
    <xf numFmtId="0" fontId="5" fillId="2" borderId="19" xfId="4" applyBorder="1" applyAlignment="1">
      <alignment horizontal="center"/>
    </xf>
    <xf numFmtId="0" fontId="12" fillId="0" borderId="5" xfId="0" quotePrefix="1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5" fillId="2" borderId="9" xfId="4" applyBorder="1" applyAlignment="1">
      <alignment horizontal="left" vertical="center"/>
    </xf>
    <xf numFmtId="0" fontId="5" fillId="2" borderId="5" xfId="4" applyBorder="1" applyAlignment="1">
      <alignment horizontal="left" vertical="center"/>
    </xf>
    <xf numFmtId="0" fontId="5" fillId="2" borderId="4" xfId="4" applyAlignment="1">
      <alignment horizontal="left" vertical="center"/>
    </xf>
    <xf numFmtId="0" fontId="5" fillId="2" borderId="10" xfId="4" applyBorder="1">
      <alignment horizontal="center" vertical="center"/>
    </xf>
    <xf numFmtId="0" fontId="5" fillId="2" borderId="2" xfId="4" applyBorder="1">
      <alignment horizontal="center" vertical="center"/>
    </xf>
    <xf numFmtId="0" fontId="5" fillId="2" borderId="11" xfId="4" applyBorder="1">
      <alignment horizontal="center" vertical="center"/>
    </xf>
    <xf numFmtId="0" fontId="5" fillId="2" borderId="10" xfId="4" applyBorder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2" borderId="2" xfId="4" applyBorder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2" borderId="11" xfId="4" applyBorder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5" borderId="16" xfId="9" applyFont="1" applyBorder="1" applyAlignment="1">
      <alignment horizontal="center"/>
    </xf>
    <xf numFmtId="0" fontId="8" fillId="5" borderId="17" xfId="9" applyFont="1" applyBorder="1" applyAlignment="1">
      <alignment horizontal="center"/>
    </xf>
    <xf numFmtId="0" fontId="8" fillId="5" borderId="10" xfId="9" applyFont="1" applyBorder="1" applyAlignment="1">
      <alignment horizontal="center"/>
    </xf>
    <xf numFmtId="0" fontId="8" fillId="5" borderId="2" xfId="9" applyFont="1" applyBorder="1" applyAlignment="1">
      <alignment horizontal="center"/>
    </xf>
    <xf numFmtId="0" fontId="8" fillId="5" borderId="11" xfId="9" applyFont="1" applyBorder="1" applyAlignment="1">
      <alignment horizontal="center"/>
    </xf>
    <xf numFmtId="0" fontId="2" fillId="5" borderId="6" xfId="9" applyBorder="1" applyAlignment="1">
      <alignment horizontal="center"/>
    </xf>
    <xf numFmtId="0" fontId="2" fillId="5" borderId="5" xfId="9" applyBorder="1" applyAlignment="1">
      <alignment horizontal="center"/>
    </xf>
    <xf numFmtId="0" fontId="2" fillId="5" borderId="10" xfId="9" applyBorder="1" applyAlignment="1">
      <alignment horizontal="center"/>
    </xf>
    <xf numFmtId="0" fontId="2" fillId="5" borderId="2" xfId="9" applyBorder="1" applyAlignment="1">
      <alignment horizontal="center"/>
    </xf>
    <xf numFmtId="0" fontId="2" fillId="5" borderId="11" xfId="9" applyBorder="1" applyAlignment="1">
      <alignment horizontal="center"/>
    </xf>
    <xf numFmtId="0" fontId="8" fillId="5" borderId="13" xfId="9" applyFont="1" applyBorder="1" applyAlignment="1">
      <alignment horizontal="center"/>
    </xf>
    <xf numFmtId="0" fontId="8" fillId="5" borderId="3" xfId="9" applyFont="1" applyBorder="1" applyAlignment="1">
      <alignment horizontal="center"/>
    </xf>
    <xf numFmtId="0" fontId="8" fillId="5" borderId="12" xfId="9" applyFont="1" applyBorder="1" applyAlignment="1">
      <alignment horizontal="center"/>
    </xf>
    <xf numFmtId="0" fontId="8" fillId="5" borderId="6" xfId="9" applyFont="1" applyBorder="1" applyAlignment="1">
      <alignment horizontal="center"/>
    </xf>
  </cellXfs>
  <cellStyles count="10">
    <cellStyle name="Accent1" xfId="9" builtinId="29" customBuiltin="1"/>
    <cellStyle name="Calculation" xfId="6" builtinId="22" customBuiltin="1"/>
    <cellStyle name="Explanatory Text" xfId="8" builtinId="53" customBuiltin="1"/>
    <cellStyle name="Heading 1" xfId="1" builtinId="16" customBuiltin="1"/>
    <cellStyle name="Heading 2" xfId="2" builtinId="17" customBuiltin="1"/>
    <cellStyle name="Heading 3" xfId="3" builtinId="18" customBuiltin="1"/>
    <cellStyle name="Input" xfId="4" builtinId="20" customBuiltin="1"/>
    <cellStyle name="Normal" xfId="0" builtinId="0" customBuiltin="1"/>
    <cellStyle name="Note" xfId="7" builtinId="10" customBuiltin="1"/>
    <cellStyle name="Output" xfId="5" builtinId="21" customBuiltin="1"/>
  </cellStyles>
  <dxfs count="2">
    <dxf>
      <font>
        <b val="0"/>
        <i val="0"/>
        <strike val="0"/>
        <color auto="1"/>
      </font>
    </dxf>
    <dxf>
      <font>
        <b val="0"/>
        <i val="0"/>
        <strike val="0"/>
        <color theme="1"/>
      </font>
    </dxf>
  </dxfs>
  <tableStyles count="0" defaultTableStyle="TableStyleMedium2" defaultPivotStyle="PivotStyleLight16"/>
  <colors>
    <mruColors>
      <color rgb="FF013053"/>
      <color rgb="FFF5C1BD"/>
      <color rgb="FFFAFEC2"/>
      <color rgb="FFE7F593"/>
      <color rgb="FFC534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8965</xdr:rowOff>
    </xdr:from>
    <xdr:to>
      <xdr:col>3</xdr:col>
      <xdr:colOff>557224</xdr:colOff>
      <xdr:row>2</xdr:row>
      <xdr:rowOff>73672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CA0EB54-C43C-41E9-969D-42F00E513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965"/>
          <a:ext cx="1670796" cy="4232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624840</xdr:colOff>
          <xdr:row>83</xdr:row>
          <xdr:rowOff>152400</xdr:rowOff>
        </xdr:from>
        <xdr:to>
          <xdr:col>10</xdr:col>
          <xdr:colOff>487680</xdr:colOff>
          <xdr:row>87</xdr:row>
          <xdr:rowOff>121920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ETABS Model!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624840</xdr:colOff>
          <xdr:row>88</xdr:row>
          <xdr:rowOff>53340</xdr:rowOff>
        </xdr:from>
        <xdr:to>
          <xdr:col>10</xdr:col>
          <xdr:colOff>472440</xdr:colOff>
          <xdr:row>90</xdr:row>
          <xdr:rowOff>121920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Sections Only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Robert Wang" id="{9DAA14A6-1FF7-4C75-9CFE-894E58C4D44A}" userId="S::rwang@degenkolb.com::25d8a49c-9531-4a75-b7bd-d095adda24c8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5-07-31T04:02:37.20" personId="{9DAA14A6-1FF7-4C75-9CFE-894E58C4D44A}" id="{F429E08A-AA1F-4133-8649-73B54E10BF44}">
    <text>Frame sections must exist in the seed model! If not, please add the desired section before running ModelGenerator.</text>
  </threadedComment>
  <threadedComment ref="T5" dT="2025-07-31T04:03:33.75" personId="{9DAA14A6-1FF7-4C75-9CFE-894E58C4D44A}" id="{3F6337C1-FA68-460E-B5D1-F642E712ECC9}">
    <text>Horizontal grids spanning East-West shall have numeric labels from 1 to 25.</text>
  </threadedComment>
  <threadedComment ref="V5" dT="2025-07-31T04:03:55.05" personId="{9DAA14A6-1FF7-4C75-9CFE-894E58C4D44A}" id="{E98BF934-99F2-45F5-B266-B60879BD2C7D}">
    <text xml:space="preserve">Vertical grids spanning North-South shall have alphabetical labels from A to Y.
</text>
  </threadedComment>
  <threadedComment ref="H6" dT="2025-07-31T04:00:21.64" personId="{9DAA14A6-1FF7-4C75-9CFE-894E58C4D44A}" id="{26602CC1-D9DA-42ED-88DD-B683FE710EED}">
    <text>Cladding load will be converted to an effective area load (psf). 
Psf = Perimeter * plf / area</text>
  </threadedComment>
  <threadedComment ref="I6" dT="2025-07-31T04:01:13.36" personId="{9DAA14A6-1FF7-4C75-9CFE-894E58C4D44A}" id="{1F942A2F-57CB-49B2-A3CD-4A24BF3328B3}">
    <text>(x,y) coordinate separated by semi-colons. No space. Last vertex does not repeat first.</text>
  </threadedComment>
  <threadedComment ref="T35" dT="2025-07-31T04:05:09.58" personId="{9DAA14A6-1FF7-4C75-9CFE-894E58C4D44A}" id="{5A7CA3BA-9442-46A6-8B04-958B064B6C44}">
    <text>Frame sections must exist in the seed model! If not, please add the desired section before running ModelGenerator.</text>
  </threadedComment>
  <threadedComment ref="Y35" dT="2025-07-31T04:05:14.25" personId="{9DAA14A6-1FF7-4C75-9CFE-894E58C4D44A}" id="{A48483B8-D387-4C12-8C12-32690DA02904}">
    <text>Frame sections must exist in the seed model! If not, please add the desired section before running ModelGenerator.</text>
  </threadedComment>
  <threadedComment ref="AD35" dT="2025-07-31T04:05:22.54" personId="{9DAA14A6-1FF7-4C75-9CFE-894E58C4D44A}" id="{27877FB3-C2A6-45FB-A8EA-427CF95FD95A}">
    <text>Wall sections must exist in the seed model! If not, please add the desired section before running ModelGenerator.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7DD88-6E19-4178-8878-691E92C510A5}">
  <sheetPr codeName="Sheet1"/>
  <dimension ref="A4:AL100"/>
  <sheetViews>
    <sheetView tabSelected="1" zoomScale="85" zoomScaleNormal="85" workbookViewId="0">
      <selection activeCell="M57" sqref="M57"/>
    </sheetView>
  </sheetViews>
  <sheetFormatPr defaultRowHeight="14.4" x14ac:dyDescent="0.3"/>
  <cols>
    <col min="1" max="2" width="3.44140625" customWidth="1"/>
    <col min="3" max="7" width="9.33203125" customWidth="1"/>
    <col min="8" max="8" width="9.5546875" customWidth="1"/>
    <col min="9" max="13" width="9.33203125" customWidth="1"/>
    <col min="14" max="18" width="11.109375" customWidth="1"/>
    <col min="19" max="19" width="10.88671875" customWidth="1"/>
    <col min="20" max="23" width="10.44140625" customWidth="1"/>
    <col min="25" max="27" width="10.44140625" customWidth="1"/>
    <col min="28" max="28" width="10.5546875" customWidth="1"/>
    <col min="30" max="31" width="11.109375" customWidth="1"/>
    <col min="32" max="35" width="9.44140625" customWidth="1"/>
    <col min="36" max="36" width="10.21875" customWidth="1"/>
  </cols>
  <sheetData>
    <row r="4" spans="1:23" ht="19.8" x14ac:dyDescent="0.4">
      <c r="A4" s="3" t="s">
        <v>1</v>
      </c>
      <c r="T4" s="4" t="s">
        <v>41</v>
      </c>
    </row>
    <row r="5" spans="1:23" ht="15.6" x14ac:dyDescent="0.3">
      <c r="B5" s="4" t="s">
        <v>40</v>
      </c>
      <c r="N5" s="38" t="s">
        <v>58</v>
      </c>
      <c r="O5" s="39"/>
      <c r="P5" s="39"/>
      <c r="Q5" s="40"/>
      <c r="T5" s="36" t="s">
        <v>90</v>
      </c>
      <c r="U5" s="36"/>
      <c r="V5" s="37" t="s">
        <v>92</v>
      </c>
      <c r="W5" s="37"/>
    </row>
    <row r="6" spans="1:23" x14ac:dyDescent="0.3">
      <c r="C6" s="5" t="s">
        <v>2</v>
      </c>
      <c r="D6" s="5" t="s">
        <v>3</v>
      </c>
      <c r="E6" s="5" t="s">
        <v>4</v>
      </c>
      <c r="F6" s="5" t="s">
        <v>23</v>
      </c>
      <c r="G6" s="12" t="s">
        <v>25</v>
      </c>
      <c r="H6" s="5" t="s">
        <v>142</v>
      </c>
      <c r="I6" s="41" t="s">
        <v>37</v>
      </c>
      <c r="J6" s="42"/>
      <c r="K6" s="42"/>
      <c r="L6" s="42"/>
      <c r="M6" s="42"/>
      <c r="N6" s="5" t="s">
        <v>39</v>
      </c>
      <c r="O6" s="5" t="s">
        <v>56</v>
      </c>
      <c r="P6" s="5" t="s">
        <v>57</v>
      </c>
      <c r="Q6" s="5" t="s">
        <v>0</v>
      </c>
      <c r="T6" s="5" t="s">
        <v>89</v>
      </c>
      <c r="U6" s="5" t="s">
        <v>91</v>
      </c>
      <c r="V6" s="5" t="s">
        <v>89</v>
      </c>
      <c r="W6" s="5" t="s">
        <v>93</v>
      </c>
    </row>
    <row r="7" spans="1:23" x14ac:dyDescent="0.3">
      <c r="C7" s="6" t="s">
        <v>5</v>
      </c>
      <c r="D7" s="6" t="s">
        <v>6</v>
      </c>
      <c r="E7" s="6" t="s">
        <v>6</v>
      </c>
      <c r="F7" s="6" t="s">
        <v>24</v>
      </c>
      <c r="G7" s="11" t="s">
        <v>24</v>
      </c>
      <c r="H7" s="6" t="s">
        <v>36</v>
      </c>
      <c r="I7" s="43" t="s">
        <v>38</v>
      </c>
      <c r="J7" s="44"/>
      <c r="K7" s="44"/>
      <c r="L7" s="44"/>
      <c r="M7" s="44"/>
      <c r="N7" s="6" t="s">
        <v>26</v>
      </c>
      <c r="O7" s="6" t="s">
        <v>26</v>
      </c>
      <c r="P7" s="6" t="s">
        <v>26</v>
      </c>
      <c r="Q7" s="6" t="s">
        <v>26</v>
      </c>
      <c r="T7" s="6"/>
      <c r="U7" s="6" t="s">
        <v>6</v>
      </c>
      <c r="V7" s="6"/>
      <c r="W7" s="6" t="s">
        <v>6</v>
      </c>
    </row>
    <row r="8" spans="1:23" x14ac:dyDescent="0.3">
      <c r="C8" s="7" t="s">
        <v>13</v>
      </c>
      <c r="D8" s="8">
        <v>21</v>
      </c>
      <c r="E8" s="2">
        <f>IF(D8="","",SUM(D8:$D$32))</f>
        <v>277</v>
      </c>
      <c r="F8" s="8">
        <v>79</v>
      </c>
      <c r="G8" s="10">
        <v>100</v>
      </c>
      <c r="H8" s="13">
        <v>630</v>
      </c>
      <c r="I8" s="23" t="s">
        <v>84</v>
      </c>
      <c r="J8" s="23"/>
      <c r="K8" s="23"/>
      <c r="L8" s="23"/>
      <c r="M8" s="23"/>
      <c r="N8" s="17" t="s">
        <v>87</v>
      </c>
      <c r="O8" s="8" t="s">
        <v>29</v>
      </c>
      <c r="P8" s="8" t="s">
        <v>30</v>
      </c>
      <c r="Q8" s="8" t="s">
        <v>32</v>
      </c>
      <c r="T8" s="20" t="s">
        <v>76</v>
      </c>
      <c r="U8" s="19">
        <v>0</v>
      </c>
      <c r="V8" s="21" t="s">
        <v>33</v>
      </c>
      <c r="W8" s="19">
        <v>0</v>
      </c>
    </row>
    <row r="9" spans="1:23" x14ac:dyDescent="0.3">
      <c r="C9" s="7" t="s">
        <v>14</v>
      </c>
      <c r="D9" s="8">
        <v>16</v>
      </c>
      <c r="E9" s="2">
        <f>IF(D9="","",SUM(D9:$D$32))</f>
        <v>256</v>
      </c>
      <c r="F9" s="8">
        <v>105</v>
      </c>
      <c r="G9" s="10">
        <v>50</v>
      </c>
      <c r="H9" s="13">
        <v>480</v>
      </c>
      <c r="I9" s="23" t="s">
        <v>84</v>
      </c>
      <c r="J9" s="23"/>
      <c r="K9" s="23"/>
      <c r="L9" s="23"/>
      <c r="M9" s="23"/>
      <c r="N9" s="17" t="s">
        <v>88</v>
      </c>
      <c r="O9" s="8" t="s">
        <v>29</v>
      </c>
      <c r="P9" s="8" t="s">
        <v>30</v>
      </c>
      <c r="Q9" s="8" t="s">
        <v>32</v>
      </c>
      <c r="T9" s="20" t="s">
        <v>77</v>
      </c>
      <c r="U9" s="19">
        <v>31</v>
      </c>
      <c r="V9" s="21" t="s">
        <v>42</v>
      </c>
      <c r="W9" s="19">
        <v>31</v>
      </c>
    </row>
    <row r="10" spans="1:23" x14ac:dyDescent="0.3">
      <c r="C10" s="7" t="s">
        <v>15</v>
      </c>
      <c r="D10" s="8">
        <v>16</v>
      </c>
      <c r="E10" s="2">
        <f>IF(D10="","",SUM(D10:$D$32))</f>
        <v>240</v>
      </c>
      <c r="F10" s="8">
        <v>42</v>
      </c>
      <c r="G10" s="10">
        <v>100</v>
      </c>
      <c r="H10" s="13">
        <v>480</v>
      </c>
      <c r="I10" s="23" t="s">
        <v>84</v>
      </c>
      <c r="J10" s="23"/>
      <c r="K10" s="23"/>
      <c r="L10" s="23"/>
      <c r="M10" s="23"/>
      <c r="N10" s="17" t="s">
        <v>88</v>
      </c>
      <c r="O10" s="8" t="s">
        <v>29</v>
      </c>
      <c r="P10" s="8" t="s">
        <v>30</v>
      </c>
      <c r="Q10" s="8" t="s">
        <v>32</v>
      </c>
      <c r="T10" s="20" t="s">
        <v>78</v>
      </c>
      <c r="U10" s="19">
        <v>62</v>
      </c>
      <c r="V10" s="21" t="s">
        <v>43</v>
      </c>
      <c r="W10" s="19">
        <v>62</v>
      </c>
    </row>
    <row r="11" spans="1:23" x14ac:dyDescent="0.3">
      <c r="C11" s="7" t="s">
        <v>16</v>
      </c>
      <c r="D11" s="8">
        <v>16</v>
      </c>
      <c r="E11" s="2">
        <f>IF(D11="","",SUM(D11:$D$32))</f>
        <v>224</v>
      </c>
      <c r="F11" s="8">
        <v>42</v>
      </c>
      <c r="G11" s="10">
        <v>100</v>
      </c>
      <c r="H11" s="13">
        <v>480</v>
      </c>
      <c r="I11" s="23" t="s">
        <v>84</v>
      </c>
      <c r="J11" s="23"/>
      <c r="K11" s="23"/>
      <c r="L11" s="23"/>
      <c r="M11" s="23"/>
      <c r="N11" s="17" t="s">
        <v>88</v>
      </c>
      <c r="O11" s="8" t="s">
        <v>29</v>
      </c>
      <c r="P11" s="8" t="s">
        <v>30</v>
      </c>
      <c r="Q11" s="8" t="s">
        <v>32</v>
      </c>
      <c r="T11" s="20" t="s">
        <v>79</v>
      </c>
      <c r="U11" s="19">
        <v>93</v>
      </c>
      <c r="V11" s="21" t="s">
        <v>44</v>
      </c>
      <c r="W11" s="19">
        <v>93</v>
      </c>
    </row>
    <row r="12" spans="1:23" x14ac:dyDescent="0.3">
      <c r="C12" s="7" t="s">
        <v>17</v>
      </c>
      <c r="D12" s="8">
        <v>16</v>
      </c>
      <c r="E12" s="2">
        <f>IF(D12="","",SUM(D12:$D$32))</f>
        <v>208</v>
      </c>
      <c r="F12" s="8">
        <v>42</v>
      </c>
      <c r="G12" s="10">
        <v>100</v>
      </c>
      <c r="H12" s="13">
        <v>480</v>
      </c>
      <c r="I12" s="23" t="s">
        <v>84</v>
      </c>
      <c r="J12" s="23"/>
      <c r="K12" s="23"/>
      <c r="L12" s="23"/>
      <c r="M12" s="23"/>
      <c r="N12" s="17" t="s">
        <v>88</v>
      </c>
      <c r="O12" s="8" t="s">
        <v>29</v>
      </c>
      <c r="P12" s="8" t="s">
        <v>30</v>
      </c>
      <c r="Q12" s="8" t="s">
        <v>32</v>
      </c>
      <c r="T12" s="20" t="s">
        <v>80</v>
      </c>
      <c r="U12" s="19">
        <v>124</v>
      </c>
      <c r="V12" s="21" t="s">
        <v>45</v>
      </c>
      <c r="W12" s="19">
        <v>124</v>
      </c>
    </row>
    <row r="13" spans="1:23" x14ac:dyDescent="0.3">
      <c r="C13" s="7" t="s">
        <v>18</v>
      </c>
      <c r="D13" s="8">
        <v>16</v>
      </c>
      <c r="E13" s="2">
        <f>IF(D13="","",SUM(D13:$D$32))</f>
        <v>192</v>
      </c>
      <c r="F13" s="8">
        <v>42</v>
      </c>
      <c r="G13" s="10">
        <v>100</v>
      </c>
      <c r="H13" s="13">
        <v>480</v>
      </c>
      <c r="I13" s="23" t="s">
        <v>84</v>
      </c>
      <c r="J13" s="23"/>
      <c r="K13" s="23"/>
      <c r="L13" s="23"/>
      <c r="M13" s="23"/>
      <c r="N13" s="17" t="s">
        <v>88</v>
      </c>
      <c r="O13" s="8" t="s">
        <v>29</v>
      </c>
      <c r="P13" s="8" t="s">
        <v>30</v>
      </c>
      <c r="Q13" s="8" t="s">
        <v>32</v>
      </c>
      <c r="T13" s="20" t="s">
        <v>81</v>
      </c>
      <c r="U13" s="19">
        <v>155</v>
      </c>
      <c r="V13" s="21" t="s">
        <v>46</v>
      </c>
      <c r="W13" s="19">
        <v>155</v>
      </c>
    </row>
    <row r="14" spans="1:23" x14ac:dyDescent="0.3">
      <c r="C14" s="7" t="s">
        <v>19</v>
      </c>
      <c r="D14" s="8">
        <v>16</v>
      </c>
      <c r="E14" s="2">
        <f>IF(D14="","",SUM(D14:$D$32))</f>
        <v>176</v>
      </c>
      <c r="F14" s="8">
        <v>42</v>
      </c>
      <c r="G14" s="10">
        <v>100</v>
      </c>
      <c r="H14" s="13">
        <v>480</v>
      </c>
      <c r="I14" s="23" t="s">
        <v>84</v>
      </c>
      <c r="J14" s="23"/>
      <c r="K14" s="23"/>
      <c r="L14" s="23"/>
      <c r="M14" s="23"/>
      <c r="N14" s="17" t="s">
        <v>88</v>
      </c>
      <c r="O14" s="8" t="s">
        <v>29</v>
      </c>
      <c r="P14" s="8" t="s">
        <v>30</v>
      </c>
      <c r="Q14" s="8" t="s">
        <v>32</v>
      </c>
      <c r="T14" s="20" t="s">
        <v>82</v>
      </c>
      <c r="U14" s="19">
        <v>186</v>
      </c>
      <c r="V14" s="21" t="s">
        <v>47</v>
      </c>
      <c r="W14" s="19">
        <v>186</v>
      </c>
    </row>
    <row r="15" spans="1:23" x14ac:dyDescent="0.3">
      <c r="C15" s="7" t="s">
        <v>20</v>
      </c>
      <c r="D15" s="8">
        <v>16</v>
      </c>
      <c r="E15" s="2">
        <f>IF(D15="","",SUM(D15:$D$32))</f>
        <v>160</v>
      </c>
      <c r="F15" s="8">
        <v>42</v>
      </c>
      <c r="G15" s="10">
        <v>100</v>
      </c>
      <c r="H15" s="13">
        <v>480</v>
      </c>
      <c r="I15" s="23" t="s">
        <v>84</v>
      </c>
      <c r="J15" s="23"/>
      <c r="K15" s="23"/>
      <c r="L15" s="23"/>
      <c r="M15" s="23"/>
      <c r="N15" s="17" t="s">
        <v>88</v>
      </c>
      <c r="O15" s="8" t="s">
        <v>29</v>
      </c>
      <c r="P15" s="8" t="s">
        <v>30</v>
      </c>
      <c r="Q15" s="8" t="s">
        <v>32</v>
      </c>
      <c r="T15" s="20" t="s">
        <v>83</v>
      </c>
      <c r="U15" s="19">
        <v>217</v>
      </c>
      <c r="V15" s="21" t="s">
        <v>48</v>
      </c>
      <c r="W15" s="19">
        <v>217</v>
      </c>
    </row>
    <row r="16" spans="1:23" x14ac:dyDescent="0.3">
      <c r="C16" s="7" t="s">
        <v>21</v>
      </c>
      <c r="D16" s="8">
        <v>16</v>
      </c>
      <c r="E16" s="2">
        <f>IF(D16="","",SUM(D16:$D$32))</f>
        <v>144</v>
      </c>
      <c r="F16" s="8">
        <v>42</v>
      </c>
      <c r="G16" s="10">
        <v>100</v>
      </c>
      <c r="H16" s="13">
        <v>480</v>
      </c>
      <c r="I16" s="23" t="s">
        <v>84</v>
      </c>
      <c r="J16" s="23"/>
      <c r="K16" s="23"/>
      <c r="L16" s="23"/>
      <c r="M16" s="23"/>
      <c r="N16" s="17" t="s">
        <v>88</v>
      </c>
      <c r="O16" s="8" t="s">
        <v>29</v>
      </c>
      <c r="P16" s="8" t="s">
        <v>30</v>
      </c>
      <c r="Q16" s="8" t="s">
        <v>32</v>
      </c>
      <c r="T16" s="20" t="s">
        <v>106</v>
      </c>
      <c r="U16" s="19"/>
      <c r="V16" s="21" t="s">
        <v>49</v>
      </c>
      <c r="W16" s="19">
        <v>248</v>
      </c>
    </row>
    <row r="17" spans="3:29" x14ac:dyDescent="0.3">
      <c r="C17" s="7" t="s">
        <v>22</v>
      </c>
      <c r="D17" s="8">
        <v>16</v>
      </c>
      <c r="E17" s="2">
        <f>IF(D17="","",SUM(D17:$D$32))</f>
        <v>128</v>
      </c>
      <c r="F17" s="8">
        <v>42</v>
      </c>
      <c r="G17" s="10">
        <v>100</v>
      </c>
      <c r="H17" s="13">
        <v>480</v>
      </c>
      <c r="I17" s="23" t="s">
        <v>84</v>
      </c>
      <c r="J17" s="23"/>
      <c r="K17" s="23"/>
      <c r="L17" s="23"/>
      <c r="M17" s="23"/>
      <c r="N17" s="17" t="s">
        <v>88</v>
      </c>
      <c r="O17" s="8" t="s">
        <v>29</v>
      </c>
      <c r="P17" s="8" t="s">
        <v>30</v>
      </c>
      <c r="Q17" s="8" t="s">
        <v>31</v>
      </c>
      <c r="T17" s="20" t="s">
        <v>107</v>
      </c>
      <c r="U17" s="19"/>
      <c r="V17" s="21" t="s">
        <v>34</v>
      </c>
      <c r="W17" s="19">
        <v>279</v>
      </c>
    </row>
    <row r="18" spans="3:29" x14ac:dyDescent="0.3">
      <c r="C18" s="7" t="s">
        <v>7</v>
      </c>
      <c r="D18" s="8">
        <v>16</v>
      </c>
      <c r="E18" s="2">
        <f>IF(D18="","",SUM(D18:$D$32))</f>
        <v>112</v>
      </c>
      <c r="F18" s="8">
        <v>42</v>
      </c>
      <c r="G18" s="10">
        <v>100</v>
      </c>
      <c r="H18" s="13">
        <v>480</v>
      </c>
      <c r="I18" s="23" t="s">
        <v>84</v>
      </c>
      <c r="J18" s="23"/>
      <c r="K18" s="23"/>
      <c r="L18" s="23"/>
      <c r="M18" s="23"/>
      <c r="N18" s="17" t="s">
        <v>88</v>
      </c>
      <c r="O18" s="8" t="s">
        <v>29</v>
      </c>
      <c r="P18" s="8" t="s">
        <v>30</v>
      </c>
      <c r="Q18" s="8" t="s">
        <v>31</v>
      </c>
      <c r="T18" s="20" t="s">
        <v>108</v>
      </c>
      <c r="U18" s="19"/>
      <c r="V18" s="21" t="s">
        <v>50</v>
      </c>
      <c r="W18" s="19">
        <v>310</v>
      </c>
    </row>
    <row r="19" spans="3:29" x14ac:dyDescent="0.3">
      <c r="C19" s="7" t="s">
        <v>8</v>
      </c>
      <c r="D19" s="8">
        <v>20</v>
      </c>
      <c r="E19" s="2">
        <f>IF(D19="","",SUM(D19:$D$32))</f>
        <v>96</v>
      </c>
      <c r="F19" s="8">
        <v>42</v>
      </c>
      <c r="G19" s="10">
        <v>100</v>
      </c>
      <c r="H19" s="13">
        <v>600</v>
      </c>
      <c r="I19" s="23" t="s">
        <v>86</v>
      </c>
      <c r="J19" s="23"/>
      <c r="K19" s="23"/>
      <c r="L19" s="23"/>
      <c r="M19" s="23"/>
      <c r="N19" s="17" t="s">
        <v>87</v>
      </c>
      <c r="O19" s="8" t="s">
        <v>29</v>
      </c>
      <c r="P19" s="8" t="s">
        <v>30</v>
      </c>
      <c r="Q19" s="8" t="s">
        <v>31</v>
      </c>
      <c r="T19" s="20" t="s">
        <v>109</v>
      </c>
      <c r="U19" s="19"/>
      <c r="V19" s="20" t="s">
        <v>105</v>
      </c>
      <c r="W19" s="19"/>
      <c r="AC19" s="18"/>
    </row>
    <row r="20" spans="3:29" x14ac:dyDescent="0.3">
      <c r="C20" s="7" t="s">
        <v>9</v>
      </c>
      <c r="D20" s="8">
        <v>18</v>
      </c>
      <c r="E20" s="2">
        <f>IF(D20="","",SUM(D20:$D$32))</f>
        <v>76</v>
      </c>
      <c r="F20" s="8">
        <v>115</v>
      </c>
      <c r="G20" s="10">
        <v>50</v>
      </c>
      <c r="H20" s="13">
        <v>540</v>
      </c>
      <c r="I20" s="23" t="s">
        <v>85</v>
      </c>
      <c r="J20" s="23"/>
      <c r="K20" s="23"/>
      <c r="L20" s="23"/>
      <c r="M20" s="23"/>
      <c r="N20" s="17" t="s">
        <v>87</v>
      </c>
      <c r="O20" s="8" t="s">
        <v>29</v>
      </c>
      <c r="P20" s="8" t="s">
        <v>30</v>
      </c>
      <c r="Q20" s="8" t="s">
        <v>31</v>
      </c>
      <c r="T20" s="20" t="s">
        <v>110</v>
      </c>
      <c r="U20" s="19"/>
      <c r="V20" s="20" t="s">
        <v>94</v>
      </c>
      <c r="W20" s="19"/>
      <c r="AC20" s="18"/>
    </row>
    <row r="21" spans="3:29" x14ac:dyDescent="0.3">
      <c r="C21" s="7" t="s">
        <v>10</v>
      </c>
      <c r="D21" s="8">
        <v>18</v>
      </c>
      <c r="E21" s="2">
        <f>IF(D21="","",SUM(D21:$D$32))</f>
        <v>58</v>
      </c>
      <c r="F21" s="8">
        <v>45</v>
      </c>
      <c r="G21" s="10">
        <v>100</v>
      </c>
      <c r="H21" s="13">
        <v>540</v>
      </c>
      <c r="I21" s="23" t="s">
        <v>85</v>
      </c>
      <c r="J21" s="23"/>
      <c r="K21" s="23"/>
      <c r="L21" s="23"/>
      <c r="M21" s="23"/>
      <c r="N21" s="17" t="s">
        <v>87</v>
      </c>
      <c r="O21" s="8" t="s">
        <v>29</v>
      </c>
      <c r="P21" s="8" t="s">
        <v>30</v>
      </c>
      <c r="Q21" s="8" t="s">
        <v>31</v>
      </c>
      <c r="T21" s="20" t="s">
        <v>111</v>
      </c>
      <c r="U21" s="19"/>
      <c r="V21" s="20" t="s">
        <v>95</v>
      </c>
      <c r="W21" s="19"/>
      <c r="AC21" s="18"/>
    </row>
    <row r="22" spans="3:29" x14ac:dyDescent="0.3">
      <c r="C22" s="7" t="s">
        <v>11</v>
      </c>
      <c r="D22" s="8">
        <v>20</v>
      </c>
      <c r="E22" s="2">
        <f>IF(D22="","",SUM(D22:$D$32))</f>
        <v>40</v>
      </c>
      <c r="F22" s="8">
        <v>45</v>
      </c>
      <c r="G22" s="10">
        <v>100</v>
      </c>
      <c r="H22" s="13">
        <v>600</v>
      </c>
      <c r="I22" s="23" t="s">
        <v>85</v>
      </c>
      <c r="J22" s="23"/>
      <c r="K22" s="23"/>
      <c r="L22" s="23"/>
      <c r="M22" s="23"/>
      <c r="N22" s="17" t="s">
        <v>87</v>
      </c>
      <c r="O22" s="8" t="s">
        <v>29</v>
      </c>
      <c r="P22" s="8" t="s">
        <v>30</v>
      </c>
      <c r="Q22" s="8" t="s">
        <v>31</v>
      </c>
      <c r="T22" s="20" t="s">
        <v>112</v>
      </c>
      <c r="U22" s="19"/>
      <c r="V22" s="20" t="s">
        <v>96</v>
      </c>
      <c r="W22" s="19"/>
      <c r="AC22" s="18"/>
    </row>
    <row r="23" spans="3:29" x14ac:dyDescent="0.3">
      <c r="C23" s="7" t="s">
        <v>12</v>
      </c>
      <c r="D23" s="8">
        <v>20</v>
      </c>
      <c r="E23" s="2">
        <f>IF(D23="","",SUM(D23:$D$32))</f>
        <v>20</v>
      </c>
      <c r="F23" s="8">
        <v>45</v>
      </c>
      <c r="G23" s="10">
        <v>100</v>
      </c>
      <c r="H23" s="13">
        <v>600</v>
      </c>
      <c r="I23" s="23" t="s">
        <v>85</v>
      </c>
      <c r="J23" s="23"/>
      <c r="K23" s="23"/>
      <c r="L23" s="23"/>
      <c r="M23" s="23"/>
      <c r="N23" s="17" t="s">
        <v>87</v>
      </c>
      <c r="O23" s="8" t="s">
        <v>29</v>
      </c>
      <c r="P23" s="8" t="s">
        <v>30</v>
      </c>
      <c r="Q23" s="8" t="s">
        <v>31</v>
      </c>
      <c r="T23" s="20" t="s">
        <v>113</v>
      </c>
      <c r="U23" s="19"/>
      <c r="V23" s="20" t="s">
        <v>97</v>
      </c>
      <c r="W23" s="19"/>
      <c r="AC23" s="18"/>
    </row>
    <row r="24" spans="3:29" x14ac:dyDescent="0.3">
      <c r="C24" s="7"/>
      <c r="D24" s="8"/>
      <c r="E24" s="2" t="str">
        <f>IF(D24="","",SUM(D24:$D$32))</f>
        <v/>
      </c>
      <c r="F24" s="8"/>
      <c r="G24" s="10"/>
      <c r="H24" s="13"/>
      <c r="I24" s="23"/>
      <c r="J24" s="23"/>
      <c r="K24" s="23"/>
      <c r="L24" s="23"/>
      <c r="M24" s="23"/>
      <c r="N24" s="8"/>
      <c r="O24" s="8"/>
      <c r="P24" s="8"/>
      <c r="Q24" s="8"/>
      <c r="T24" s="20" t="s">
        <v>114</v>
      </c>
      <c r="U24" s="19"/>
      <c r="V24" s="20" t="s">
        <v>98</v>
      </c>
      <c r="W24" s="19"/>
      <c r="AC24" s="18"/>
    </row>
    <row r="25" spans="3:29" x14ac:dyDescent="0.3">
      <c r="C25" s="7"/>
      <c r="D25" s="8"/>
      <c r="E25" s="2" t="str">
        <f>IF(D25="","",SUM(D25:$D$32))</f>
        <v/>
      </c>
      <c r="F25" s="8"/>
      <c r="G25" s="10"/>
      <c r="H25" s="13"/>
      <c r="I25" s="23"/>
      <c r="J25" s="23"/>
      <c r="K25" s="23"/>
      <c r="L25" s="23"/>
      <c r="M25" s="23"/>
      <c r="N25" s="8"/>
      <c r="O25" s="8"/>
      <c r="P25" s="8"/>
      <c r="Q25" s="8"/>
      <c r="T25" s="20" t="s">
        <v>115</v>
      </c>
      <c r="U25" s="19"/>
      <c r="V25" s="20" t="s">
        <v>99</v>
      </c>
      <c r="W25" s="19"/>
      <c r="AC25" s="18"/>
    </row>
    <row r="26" spans="3:29" x14ac:dyDescent="0.3">
      <c r="C26" s="7"/>
      <c r="D26" s="8"/>
      <c r="E26" s="2" t="str">
        <f>IF(D26="","",SUM(D26:$D$32))</f>
        <v/>
      </c>
      <c r="F26" s="8"/>
      <c r="G26" s="10"/>
      <c r="H26" s="13"/>
      <c r="I26" s="23"/>
      <c r="J26" s="23"/>
      <c r="K26" s="23"/>
      <c r="L26" s="23"/>
      <c r="M26" s="23"/>
      <c r="N26" s="8"/>
      <c r="O26" s="8"/>
      <c r="P26" s="8"/>
      <c r="Q26" s="8"/>
      <c r="T26" s="20" t="s">
        <v>116</v>
      </c>
      <c r="U26" s="19"/>
      <c r="V26" s="20" t="s">
        <v>100</v>
      </c>
      <c r="W26" s="19"/>
      <c r="AC26" s="18"/>
    </row>
    <row r="27" spans="3:29" x14ac:dyDescent="0.3">
      <c r="C27" s="7"/>
      <c r="D27" s="8"/>
      <c r="E27" s="2" t="str">
        <f>IF(D27="","",SUM(D27:$D$32))</f>
        <v/>
      </c>
      <c r="F27" s="8"/>
      <c r="G27" s="10"/>
      <c r="H27" s="13"/>
      <c r="I27" s="23"/>
      <c r="J27" s="23"/>
      <c r="K27" s="23"/>
      <c r="L27" s="23"/>
      <c r="M27" s="23"/>
      <c r="N27" s="8"/>
      <c r="O27" s="8"/>
      <c r="P27" s="8"/>
      <c r="Q27" s="8"/>
      <c r="T27" s="20" t="s">
        <v>117</v>
      </c>
      <c r="U27" s="19"/>
      <c r="V27" s="20" t="s">
        <v>101</v>
      </c>
      <c r="W27" s="19"/>
      <c r="AC27" s="18"/>
    </row>
    <row r="28" spans="3:29" x14ac:dyDescent="0.3">
      <c r="C28" s="7"/>
      <c r="D28" s="8"/>
      <c r="E28" s="2" t="str">
        <f>IF(D28="","",SUM(D28:$D$32))</f>
        <v/>
      </c>
      <c r="F28" s="8"/>
      <c r="G28" s="10"/>
      <c r="H28" s="13"/>
      <c r="I28" s="23"/>
      <c r="J28" s="23"/>
      <c r="K28" s="23"/>
      <c r="L28" s="23"/>
      <c r="M28" s="23"/>
      <c r="N28" s="8"/>
      <c r="O28" s="8"/>
      <c r="P28" s="8"/>
      <c r="Q28" s="8"/>
      <c r="T28" s="20" t="s">
        <v>118</v>
      </c>
      <c r="U28" s="19"/>
      <c r="V28" s="20" t="s">
        <v>102</v>
      </c>
      <c r="W28" s="19"/>
      <c r="AC28" s="18"/>
    </row>
    <row r="29" spans="3:29" x14ac:dyDescent="0.3">
      <c r="C29" s="7"/>
      <c r="D29" s="8"/>
      <c r="E29" s="2" t="str">
        <f>IF(D29="","",SUM(D29:$D$32))</f>
        <v/>
      </c>
      <c r="F29" s="8"/>
      <c r="G29" s="10"/>
      <c r="H29" s="13"/>
      <c r="I29" s="23"/>
      <c r="J29" s="23"/>
      <c r="K29" s="23"/>
      <c r="L29" s="23"/>
      <c r="M29" s="23"/>
      <c r="N29" s="8"/>
      <c r="O29" s="8"/>
      <c r="P29" s="8"/>
      <c r="Q29" s="8"/>
      <c r="T29" s="20" t="s">
        <v>119</v>
      </c>
      <c r="U29" s="19"/>
      <c r="V29" s="20" t="s">
        <v>104</v>
      </c>
      <c r="W29" s="19"/>
      <c r="AC29" s="18"/>
    </row>
    <row r="30" spans="3:29" x14ac:dyDescent="0.3">
      <c r="C30" s="7"/>
      <c r="D30" s="8"/>
      <c r="E30" s="2" t="str">
        <f>IF(D30="","",SUM(D30:$D$32))</f>
        <v/>
      </c>
      <c r="F30" s="8"/>
      <c r="G30" s="10"/>
      <c r="H30" s="14"/>
      <c r="I30" s="23"/>
      <c r="J30" s="23"/>
      <c r="K30" s="23"/>
      <c r="L30" s="23"/>
      <c r="M30" s="23"/>
      <c r="N30" s="8"/>
      <c r="O30" s="8"/>
      <c r="P30" s="8"/>
      <c r="Q30" s="8"/>
      <c r="T30" s="20" t="s">
        <v>120</v>
      </c>
      <c r="U30" s="19"/>
      <c r="V30" s="20" t="s">
        <v>103</v>
      </c>
      <c r="W30" s="19"/>
      <c r="AC30" s="18"/>
    </row>
    <row r="31" spans="3:29" x14ac:dyDescent="0.3">
      <c r="C31" s="7"/>
      <c r="D31" s="8"/>
      <c r="E31" s="2" t="str">
        <f>IF(D31="","",SUM(D31:$D$32))</f>
        <v/>
      </c>
      <c r="F31" s="8"/>
      <c r="G31" s="10"/>
      <c r="H31" s="14"/>
      <c r="I31" s="23"/>
      <c r="J31" s="23"/>
      <c r="K31" s="23"/>
      <c r="L31" s="23"/>
      <c r="M31" s="23"/>
      <c r="N31" s="8"/>
      <c r="O31" s="8"/>
      <c r="P31" s="8"/>
      <c r="Q31" s="8"/>
      <c r="T31" s="20" t="s">
        <v>121</v>
      </c>
      <c r="U31" s="19"/>
      <c r="V31" s="21" t="s">
        <v>51</v>
      </c>
      <c r="W31" s="19"/>
    </row>
    <row r="32" spans="3:29" x14ac:dyDescent="0.3">
      <c r="C32" s="7"/>
      <c r="D32" s="8"/>
      <c r="E32" s="2" t="str">
        <f>IF(D32="","",SUM(D32:$D$32))</f>
        <v/>
      </c>
      <c r="F32" s="8"/>
      <c r="G32" s="10"/>
      <c r="H32" s="14"/>
      <c r="I32" s="23"/>
      <c r="J32" s="23"/>
      <c r="K32" s="23"/>
      <c r="L32" s="23"/>
      <c r="M32" s="23"/>
      <c r="N32" s="8"/>
      <c r="O32" s="8"/>
      <c r="P32" s="8"/>
      <c r="Q32" s="8"/>
      <c r="T32" s="20" t="s">
        <v>122</v>
      </c>
      <c r="U32" s="19"/>
      <c r="V32" s="21" t="s">
        <v>52</v>
      </c>
      <c r="W32" s="19"/>
    </row>
    <row r="34" spans="2:38" ht="15.6" x14ac:dyDescent="0.3">
      <c r="B34" s="4" t="s">
        <v>55</v>
      </c>
      <c r="Y34" s="16"/>
      <c r="AD34" s="16"/>
      <c r="AE34" s="16"/>
      <c r="AF34" s="16"/>
      <c r="AL34" s="16"/>
    </row>
    <row r="35" spans="2:38" x14ac:dyDescent="0.3">
      <c r="C35" s="31" t="s">
        <v>2</v>
      </c>
      <c r="D35" s="33" t="s">
        <v>61</v>
      </c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5"/>
      <c r="T35" s="33" t="s">
        <v>69</v>
      </c>
      <c r="U35" s="34"/>
      <c r="V35" s="34"/>
      <c r="W35" s="35"/>
      <c r="Y35" s="33" t="s">
        <v>59</v>
      </c>
      <c r="Z35" s="34"/>
      <c r="AA35" s="34"/>
      <c r="AB35" s="35"/>
      <c r="AD35" s="33" t="s">
        <v>70</v>
      </c>
      <c r="AE35" s="34"/>
    </row>
    <row r="36" spans="2:38" x14ac:dyDescent="0.3">
      <c r="C36" s="32"/>
      <c r="D36" s="5" t="s">
        <v>60</v>
      </c>
      <c r="E36" s="5" t="s">
        <v>60</v>
      </c>
      <c r="F36" s="5" t="s">
        <v>60</v>
      </c>
      <c r="G36" s="5" t="s">
        <v>60</v>
      </c>
      <c r="H36" s="5" t="s">
        <v>60</v>
      </c>
      <c r="I36" s="5" t="s">
        <v>60</v>
      </c>
      <c r="J36" s="5" t="s">
        <v>60</v>
      </c>
      <c r="K36" s="5" t="s">
        <v>60</v>
      </c>
      <c r="L36" s="5" t="s">
        <v>60</v>
      </c>
      <c r="M36" s="5" t="s">
        <v>60</v>
      </c>
      <c r="N36" s="5" t="s">
        <v>60</v>
      </c>
      <c r="O36" s="5" t="s">
        <v>60</v>
      </c>
      <c r="P36" s="5" t="s">
        <v>60</v>
      </c>
      <c r="Q36" s="5" t="s">
        <v>60</v>
      </c>
      <c r="R36" s="5" t="s">
        <v>60</v>
      </c>
      <c r="T36" s="33" t="s">
        <v>51</v>
      </c>
      <c r="U36" s="35"/>
      <c r="V36" s="33" t="s">
        <v>52</v>
      </c>
      <c r="W36" s="35"/>
      <c r="Y36" s="33" t="s">
        <v>51</v>
      </c>
      <c r="Z36" s="35"/>
      <c r="AA36" s="33" t="s">
        <v>52</v>
      </c>
      <c r="AB36" s="35"/>
      <c r="AD36" s="5" t="s">
        <v>51</v>
      </c>
      <c r="AE36" s="5" t="s">
        <v>52</v>
      </c>
    </row>
    <row r="37" spans="2:38" x14ac:dyDescent="0.3">
      <c r="C37" s="6" t="s">
        <v>5</v>
      </c>
      <c r="D37" s="6">
        <v>1</v>
      </c>
      <c r="E37" s="6">
        <v>2</v>
      </c>
      <c r="F37" s="6">
        <v>3</v>
      </c>
      <c r="G37" s="6">
        <v>4</v>
      </c>
      <c r="H37" s="6">
        <v>5</v>
      </c>
      <c r="I37" s="6">
        <v>6</v>
      </c>
      <c r="J37" s="6">
        <v>7</v>
      </c>
      <c r="K37" s="6">
        <v>8</v>
      </c>
      <c r="L37" s="6">
        <v>9</v>
      </c>
      <c r="M37" s="6">
        <v>10</v>
      </c>
      <c r="N37" s="6">
        <v>11</v>
      </c>
      <c r="O37" s="6">
        <v>12</v>
      </c>
      <c r="P37" s="6">
        <v>13</v>
      </c>
      <c r="Q37" s="6">
        <v>14</v>
      </c>
      <c r="R37" s="6">
        <v>15</v>
      </c>
      <c r="T37" s="6" t="s">
        <v>35</v>
      </c>
      <c r="U37" s="6" t="s">
        <v>53</v>
      </c>
      <c r="V37" s="6" t="s">
        <v>35</v>
      </c>
      <c r="W37" s="6" t="s">
        <v>53</v>
      </c>
      <c r="Y37" s="6" t="s">
        <v>59</v>
      </c>
      <c r="Z37" s="6" t="s">
        <v>54</v>
      </c>
      <c r="AA37" s="6" t="s">
        <v>59</v>
      </c>
      <c r="AB37" s="6" t="s">
        <v>54</v>
      </c>
      <c r="AD37" s="15" t="s">
        <v>26</v>
      </c>
      <c r="AE37" s="15" t="s">
        <v>26</v>
      </c>
    </row>
    <row r="38" spans="2:38" x14ac:dyDescent="0.3">
      <c r="C38" s="9" t="str">
        <f t="shared" ref="C38:C53" si="0">C8</f>
        <v>Level 17</v>
      </c>
      <c r="D38" s="8" t="s">
        <v>123</v>
      </c>
      <c r="E38" s="8" t="s">
        <v>124</v>
      </c>
      <c r="F38" s="8" t="s">
        <v>125</v>
      </c>
      <c r="G38" s="8" t="s">
        <v>126</v>
      </c>
      <c r="H38" s="8" t="s">
        <v>127</v>
      </c>
      <c r="I38" s="8" t="s">
        <v>128</v>
      </c>
      <c r="J38" s="8" t="s">
        <v>129</v>
      </c>
      <c r="K38" s="8" t="s">
        <v>130</v>
      </c>
      <c r="L38" s="8" t="s">
        <v>131</v>
      </c>
      <c r="M38" s="8" t="s">
        <v>132</v>
      </c>
      <c r="N38" s="8" t="s">
        <v>133</v>
      </c>
      <c r="O38" s="8" t="s">
        <v>134</v>
      </c>
      <c r="P38" s="8" t="s">
        <v>135</v>
      </c>
      <c r="Q38" s="8"/>
      <c r="R38" s="8"/>
      <c r="T38" s="8" t="s">
        <v>27</v>
      </c>
      <c r="U38" s="8" t="s">
        <v>28</v>
      </c>
      <c r="V38" s="8" t="s">
        <v>27</v>
      </c>
      <c r="W38" s="8" t="s">
        <v>28</v>
      </c>
      <c r="Y38" s="22"/>
      <c r="Z38" s="8"/>
      <c r="AA38" s="22"/>
      <c r="AB38" s="8"/>
      <c r="AD38" s="8"/>
      <c r="AE38" s="8"/>
    </row>
    <row r="39" spans="2:38" x14ac:dyDescent="0.3">
      <c r="C39" s="9" t="str">
        <f t="shared" si="0"/>
        <v>Level 16</v>
      </c>
      <c r="D39" s="8" t="s">
        <v>123</v>
      </c>
      <c r="E39" s="8" t="s">
        <v>124</v>
      </c>
      <c r="F39" s="8" t="s">
        <v>125</v>
      </c>
      <c r="G39" s="8" t="s">
        <v>126</v>
      </c>
      <c r="H39" s="8" t="s">
        <v>127</v>
      </c>
      <c r="I39" s="8" t="s">
        <v>128</v>
      </c>
      <c r="J39" s="8" t="s">
        <v>129</v>
      </c>
      <c r="K39" s="8" t="s">
        <v>130</v>
      </c>
      <c r="L39" s="8" t="s">
        <v>131</v>
      </c>
      <c r="M39" s="8" t="s">
        <v>132</v>
      </c>
      <c r="N39" s="8" t="s">
        <v>133</v>
      </c>
      <c r="O39" s="8" t="s">
        <v>134</v>
      </c>
      <c r="P39" s="8" t="s">
        <v>135</v>
      </c>
      <c r="Q39" s="8"/>
      <c r="R39" s="8"/>
      <c r="T39" s="8" t="s">
        <v>27</v>
      </c>
      <c r="U39" s="8" t="s">
        <v>28</v>
      </c>
      <c r="V39" s="8" t="s">
        <v>27</v>
      </c>
      <c r="W39" s="8" t="s">
        <v>28</v>
      </c>
      <c r="Y39" s="22"/>
      <c r="Z39" s="8"/>
      <c r="AA39" s="22"/>
      <c r="AB39" s="8"/>
      <c r="AD39" s="8"/>
      <c r="AE39" s="8"/>
    </row>
    <row r="40" spans="2:38" x14ac:dyDescent="0.3">
      <c r="C40" s="9" t="str">
        <f t="shared" si="0"/>
        <v>Level 15</v>
      </c>
      <c r="D40" s="8" t="s">
        <v>123</v>
      </c>
      <c r="E40" s="8" t="s">
        <v>124</v>
      </c>
      <c r="F40" s="8" t="s">
        <v>125</v>
      </c>
      <c r="G40" s="8" t="s">
        <v>126</v>
      </c>
      <c r="H40" s="8" t="s">
        <v>127</v>
      </c>
      <c r="I40" s="8" t="s">
        <v>128</v>
      </c>
      <c r="J40" s="8" t="s">
        <v>129</v>
      </c>
      <c r="K40" s="8" t="s">
        <v>130</v>
      </c>
      <c r="L40" s="8" t="s">
        <v>131</v>
      </c>
      <c r="M40" s="8" t="s">
        <v>132</v>
      </c>
      <c r="N40" s="8" t="s">
        <v>133</v>
      </c>
      <c r="O40" s="8" t="s">
        <v>134</v>
      </c>
      <c r="P40" s="8" t="s">
        <v>135</v>
      </c>
      <c r="Q40" s="8"/>
      <c r="R40" s="8"/>
      <c r="T40" s="8" t="s">
        <v>27</v>
      </c>
      <c r="U40" s="8" t="s">
        <v>28</v>
      </c>
      <c r="V40" s="8" t="s">
        <v>27</v>
      </c>
      <c r="W40" s="8" t="s">
        <v>28</v>
      </c>
      <c r="Y40" s="22"/>
      <c r="Z40" s="8"/>
      <c r="AA40" s="22"/>
      <c r="AB40" s="8"/>
      <c r="AD40" s="8"/>
      <c r="AE40" s="8"/>
    </row>
    <row r="41" spans="2:38" x14ac:dyDescent="0.3">
      <c r="C41" s="9" t="str">
        <f t="shared" si="0"/>
        <v>Level 14</v>
      </c>
      <c r="D41" s="8" t="s">
        <v>123</v>
      </c>
      <c r="E41" s="8" t="s">
        <v>124</v>
      </c>
      <c r="F41" s="8" t="s">
        <v>125</v>
      </c>
      <c r="G41" s="8" t="s">
        <v>126</v>
      </c>
      <c r="H41" s="8" t="s">
        <v>127</v>
      </c>
      <c r="I41" s="8" t="s">
        <v>128</v>
      </c>
      <c r="J41" s="8" t="s">
        <v>129</v>
      </c>
      <c r="K41" s="8" t="s">
        <v>130</v>
      </c>
      <c r="L41" s="8" t="s">
        <v>131</v>
      </c>
      <c r="M41" s="8" t="s">
        <v>132</v>
      </c>
      <c r="N41" s="8" t="s">
        <v>133</v>
      </c>
      <c r="O41" s="8" t="s">
        <v>134</v>
      </c>
      <c r="P41" s="8" t="s">
        <v>135</v>
      </c>
      <c r="Q41" s="8"/>
      <c r="R41" s="8"/>
      <c r="T41" s="8" t="s">
        <v>27</v>
      </c>
      <c r="U41" s="8" t="s">
        <v>28</v>
      </c>
      <c r="V41" s="8" t="s">
        <v>27</v>
      </c>
      <c r="W41" s="8" t="s">
        <v>28</v>
      </c>
      <c r="Y41" s="22"/>
      <c r="Z41" s="8"/>
      <c r="AA41" s="22"/>
      <c r="AB41" s="8"/>
      <c r="AD41" s="8"/>
      <c r="AE41" s="8"/>
    </row>
    <row r="42" spans="2:38" x14ac:dyDescent="0.3">
      <c r="C42" s="9" t="str">
        <f t="shared" si="0"/>
        <v>Level 13</v>
      </c>
      <c r="D42" s="8" t="s">
        <v>123</v>
      </c>
      <c r="E42" s="8" t="s">
        <v>124</v>
      </c>
      <c r="F42" s="8" t="s">
        <v>125</v>
      </c>
      <c r="G42" s="8" t="s">
        <v>126</v>
      </c>
      <c r="H42" s="8" t="s">
        <v>127</v>
      </c>
      <c r="I42" s="8" t="s">
        <v>128</v>
      </c>
      <c r="J42" s="8" t="s">
        <v>129</v>
      </c>
      <c r="K42" s="8" t="s">
        <v>130</v>
      </c>
      <c r="L42" s="8" t="s">
        <v>131</v>
      </c>
      <c r="M42" s="8" t="s">
        <v>132</v>
      </c>
      <c r="N42" s="8" t="s">
        <v>133</v>
      </c>
      <c r="O42" s="8" t="s">
        <v>134</v>
      </c>
      <c r="P42" s="8" t="s">
        <v>135</v>
      </c>
      <c r="Q42" s="8"/>
      <c r="R42" s="8"/>
      <c r="T42" s="8" t="s">
        <v>27</v>
      </c>
      <c r="U42" s="8" t="s">
        <v>28</v>
      </c>
      <c r="V42" s="8" t="s">
        <v>27</v>
      </c>
      <c r="W42" s="8" t="s">
        <v>28</v>
      </c>
      <c r="Y42" s="22"/>
      <c r="Z42" s="8"/>
      <c r="AA42" s="22"/>
      <c r="AB42" s="8"/>
      <c r="AD42" s="8"/>
      <c r="AE42" s="8"/>
    </row>
    <row r="43" spans="2:38" x14ac:dyDescent="0.3">
      <c r="C43" s="9" t="str">
        <f t="shared" si="0"/>
        <v>Level 12</v>
      </c>
      <c r="D43" s="8" t="s">
        <v>123</v>
      </c>
      <c r="E43" s="8" t="s">
        <v>124</v>
      </c>
      <c r="F43" s="8" t="s">
        <v>125</v>
      </c>
      <c r="G43" s="8" t="s">
        <v>126</v>
      </c>
      <c r="H43" s="8" t="s">
        <v>127</v>
      </c>
      <c r="I43" s="8" t="s">
        <v>128</v>
      </c>
      <c r="J43" s="8" t="s">
        <v>129</v>
      </c>
      <c r="K43" s="8" t="s">
        <v>130</v>
      </c>
      <c r="L43" s="8" t="s">
        <v>131</v>
      </c>
      <c r="M43" s="8" t="s">
        <v>132</v>
      </c>
      <c r="N43" s="8" t="s">
        <v>133</v>
      </c>
      <c r="O43" s="8" t="s">
        <v>134</v>
      </c>
      <c r="P43" s="8" t="s">
        <v>135</v>
      </c>
      <c r="Q43" s="8"/>
      <c r="R43" s="8"/>
      <c r="T43" s="8" t="s">
        <v>27</v>
      </c>
      <c r="U43" s="8" t="s">
        <v>28</v>
      </c>
      <c r="V43" s="8" t="s">
        <v>27</v>
      </c>
      <c r="W43" s="8" t="s">
        <v>28</v>
      </c>
      <c r="Y43" s="22"/>
      <c r="Z43" s="8"/>
      <c r="AA43" s="22"/>
      <c r="AB43" s="8"/>
      <c r="AD43" s="8"/>
      <c r="AE43" s="8"/>
    </row>
    <row r="44" spans="2:38" x14ac:dyDescent="0.3">
      <c r="C44" s="9" t="str">
        <f t="shared" si="0"/>
        <v>Level 11</v>
      </c>
      <c r="D44" s="8" t="s">
        <v>123</v>
      </c>
      <c r="E44" s="8" t="s">
        <v>124</v>
      </c>
      <c r="F44" s="8" t="s">
        <v>125</v>
      </c>
      <c r="G44" s="8" t="s">
        <v>126</v>
      </c>
      <c r="H44" s="8" t="s">
        <v>127</v>
      </c>
      <c r="I44" s="8" t="s">
        <v>128</v>
      </c>
      <c r="J44" s="8" t="s">
        <v>129</v>
      </c>
      <c r="K44" s="8" t="s">
        <v>130</v>
      </c>
      <c r="L44" s="8" t="s">
        <v>131</v>
      </c>
      <c r="M44" s="8" t="s">
        <v>132</v>
      </c>
      <c r="N44" s="8" t="s">
        <v>133</v>
      </c>
      <c r="O44" s="8" t="s">
        <v>134</v>
      </c>
      <c r="P44" s="8" t="s">
        <v>135</v>
      </c>
      <c r="Q44" s="8"/>
      <c r="R44" s="8"/>
      <c r="T44" s="8" t="s">
        <v>27</v>
      </c>
      <c r="U44" s="8" t="s">
        <v>28</v>
      </c>
      <c r="V44" s="8" t="s">
        <v>27</v>
      </c>
      <c r="W44" s="8" t="s">
        <v>28</v>
      </c>
      <c r="Y44" s="22"/>
      <c r="Z44" s="8"/>
      <c r="AA44" s="22"/>
      <c r="AB44" s="8"/>
      <c r="AD44" s="8"/>
      <c r="AE44" s="8"/>
    </row>
    <row r="45" spans="2:38" x14ac:dyDescent="0.3">
      <c r="C45" s="9" t="str">
        <f t="shared" si="0"/>
        <v>Level 10</v>
      </c>
      <c r="D45" s="8" t="s">
        <v>123</v>
      </c>
      <c r="E45" s="8" t="s">
        <v>124</v>
      </c>
      <c r="F45" s="8" t="s">
        <v>125</v>
      </c>
      <c r="G45" s="8" t="s">
        <v>126</v>
      </c>
      <c r="H45" s="8" t="s">
        <v>127</v>
      </c>
      <c r="I45" s="8" t="s">
        <v>128</v>
      </c>
      <c r="J45" s="8" t="s">
        <v>129</v>
      </c>
      <c r="K45" s="8" t="s">
        <v>130</v>
      </c>
      <c r="L45" s="8" t="s">
        <v>131</v>
      </c>
      <c r="M45" s="8" t="s">
        <v>132</v>
      </c>
      <c r="N45" s="8" t="s">
        <v>133</v>
      </c>
      <c r="O45" s="8" t="s">
        <v>134</v>
      </c>
      <c r="P45" s="8" t="s">
        <v>135</v>
      </c>
      <c r="Q45" s="8"/>
      <c r="R45" s="8"/>
      <c r="T45" s="8" t="s">
        <v>27</v>
      </c>
      <c r="U45" s="8" t="s">
        <v>28</v>
      </c>
      <c r="V45" s="8" t="s">
        <v>27</v>
      </c>
      <c r="W45" s="8" t="s">
        <v>28</v>
      </c>
      <c r="Y45" s="22"/>
      <c r="Z45" s="8"/>
      <c r="AA45" s="22"/>
      <c r="AB45" s="8"/>
      <c r="AD45" s="8"/>
      <c r="AE45" s="8"/>
    </row>
    <row r="46" spans="2:38" x14ac:dyDescent="0.3">
      <c r="C46" s="9" t="str">
        <f t="shared" si="0"/>
        <v>Level 9</v>
      </c>
      <c r="D46" s="8" t="s">
        <v>123</v>
      </c>
      <c r="E46" s="8" t="s">
        <v>124</v>
      </c>
      <c r="F46" s="8" t="s">
        <v>125</v>
      </c>
      <c r="G46" s="8" t="s">
        <v>126</v>
      </c>
      <c r="H46" s="8" t="s">
        <v>127</v>
      </c>
      <c r="I46" s="8" t="s">
        <v>128</v>
      </c>
      <c r="J46" s="8" t="s">
        <v>129</v>
      </c>
      <c r="K46" s="8" t="s">
        <v>130</v>
      </c>
      <c r="L46" s="8" t="s">
        <v>131</v>
      </c>
      <c r="M46" s="8" t="s">
        <v>132</v>
      </c>
      <c r="N46" s="8" t="s">
        <v>133</v>
      </c>
      <c r="O46" s="8" t="s">
        <v>134</v>
      </c>
      <c r="P46" s="8" t="s">
        <v>135</v>
      </c>
      <c r="Q46" s="8"/>
      <c r="R46" s="8"/>
      <c r="T46" s="8" t="s">
        <v>27</v>
      </c>
      <c r="U46" s="8" t="s">
        <v>28</v>
      </c>
      <c r="V46" s="8" t="s">
        <v>27</v>
      </c>
      <c r="W46" s="8" t="s">
        <v>28</v>
      </c>
      <c r="Y46" s="22"/>
      <c r="Z46" s="8"/>
      <c r="AA46" s="22"/>
      <c r="AB46" s="8"/>
      <c r="AD46" s="8"/>
      <c r="AE46" s="8"/>
    </row>
    <row r="47" spans="2:38" x14ac:dyDescent="0.3">
      <c r="C47" s="9" t="str">
        <f t="shared" si="0"/>
        <v>Level 8</v>
      </c>
      <c r="D47" s="8" t="s">
        <v>123</v>
      </c>
      <c r="E47" s="8" t="s">
        <v>124</v>
      </c>
      <c r="F47" s="8" t="s">
        <v>125</v>
      </c>
      <c r="G47" s="8" t="s">
        <v>126</v>
      </c>
      <c r="H47" s="8" t="s">
        <v>127</v>
      </c>
      <c r="I47" s="8" t="s">
        <v>128</v>
      </c>
      <c r="J47" s="8" t="s">
        <v>129</v>
      </c>
      <c r="K47" s="8" t="s">
        <v>130</v>
      </c>
      <c r="L47" s="8" t="s">
        <v>131</v>
      </c>
      <c r="M47" s="8" t="s">
        <v>132</v>
      </c>
      <c r="N47" s="8" t="s">
        <v>133</v>
      </c>
      <c r="O47" s="8" t="s">
        <v>134</v>
      </c>
      <c r="P47" s="8" t="s">
        <v>135</v>
      </c>
      <c r="Q47" s="8"/>
      <c r="R47" s="8"/>
      <c r="T47" s="8" t="s">
        <v>27</v>
      </c>
      <c r="U47" s="8" t="s">
        <v>28</v>
      </c>
      <c r="V47" s="8" t="s">
        <v>27</v>
      </c>
      <c r="W47" s="8" t="s">
        <v>28</v>
      </c>
      <c r="Y47" s="22"/>
      <c r="Z47" s="8"/>
      <c r="AA47" s="22"/>
      <c r="AB47" s="8"/>
      <c r="AD47" s="8"/>
      <c r="AE47" s="8"/>
    </row>
    <row r="48" spans="2:38" x14ac:dyDescent="0.3">
      <c r="C48" s="9" t="str">
        <f t="shared" si="0"/>
        <v>Level 7</v>
      </c>
      <c r="D48" s="8" t="s">
        <v>123</v>
      </c>
      <c r="E48" s="8" t="s">
        <v>124</v>
      </c>
      <c r="F48" s="8" t="s">
        <v>125</v>
      </c>
      <c r="G48" s="8" t="s">
        <v>126</v>
      </c>
      <c r="H48" s="8" t="s">
        <v>127</v>
      </c>
      <c r="I48" s="8" t="s">
        <v>128</v>
      </c>
      <c r="J48" s="8" t="s">
        <v>129</v>
      </c>
      <c r="K48" s="8" t="s">
        <v>130</v>
      </c>
      <c r="L48" s="8" t="s">
        <v>131</v>
      </c>
      <c r="M48" s="8" t="s">
        <v>132</v>
      </c>
      <c r="N48" s="8" t="s">
        <v>133</v>
      </c>
      <c r="O48" s="8" t="s">
        <v>134</v>
      </c>
      <c r="P48" s="8" t="s">
        <v>135</v>
      </c>
      <c r="Q48" s="8"/>
      <c r="R48" s="8"/>
      <c r="T48" s="8" t="s">
        <v>27</v>
      </c>
      <c r="U48" s="8" t="s">
        <v>28</v>
      </c>
      <c r="V48" s="8" t="s">
        <v>27</v>
      </c>
      <c r="W48" s="8" t="s">
        <v>28</v>
      </c>
      <c r="Y48" s="22"/>
      <c r="Z48" s="8"/>
      <c r="AA48" s="22"/>
      <c r="AB48" s="8"/>
      <c r="AD48" s="8"/>
      <c r="AE48" s="8"/>
    </row>
    <row r="49" spans="3:31" x14ac:dyDescent="0.3">
      <c r="C49" s="9" t="str">
        <f t="shared" si="0"/>
        <v>Level 6</v>
      </c>
      <c r="D49" s="8" t="s">
        <v>123</v>
      </c>
      <c r="E49" s="8" t="s">
        <v>124</v>
      </c>
      <c r="F49" s="8" t="s">
        <v>125</v>
      </c>
      <c r="G49" s="8" t="s">
        <v>126</v>
      </c>
      <c r="H49" s="8" t="s">
        <v>127</v>
      </c>
      <c r="I49" s="8" t="s">
        <v>128</v>
      </c>
      <c r="J49" s="8" t="s">
        <v>129</v>
      </c>
      <c r="K49" s="8" t="s">
        <v>130</v>
      </c>
      <c r="L49" s="8" t="s">
        <v>131</v>
      </c>
      <c r="M49" s="8" t="s">
        <v>132</v>
      </c>
      <c r="N49" s="8" t="s">
        <v>133</v>
      </c>
      <c r="O49" s="8" t="s">
        <v>134</v>
      </c>
      <c r="P49" s="8" t="s">
        <v>135</v>
      </c>
      <c r="Q49" s="8"/>
      <c r="R49" s="8"/>
      <c r="T49" s="8" t="s">
        <v>27</v>
      </c>
      <c r="U49" s="8" t="s">
        <v>28</v>
      </c>
      <c r="V49" s="8" t="s">
        <v>27</v>
      </c>
      <c r="W49" s="8" t="s">
        <v>28</v>
      </c>
      <c r="Y49" s="22"/>
      <c r="Z49" s="8"/>
      <c r="AA49" s="22"/>
      <c r="AB49" s="8"/>
      <c r="AD49" s="8"/>
      <c r="AE49" s="8"/>
    </row>
    <row r="50" spans="3:31" x14ac:dyDescent="0.3">
      <c r="C50" s="9" t="str">
        <f t="shared" si="0"/>
        <v>Level 5</v>
      </c>
      <c r="D50" s="8" t="s">
        <v>136</v>
      </c>
      <c r="E50" s="8" t="s">
        <v>125</v>
      </c>
      <c r="F50" s="8" t="s">
        <v>126</v>
      </c>
      <c r="G50" s="8" t="s">
        <v>127</v>
      </c>
      <c r="H50" s="8" t="s">
        <v>128</v>
      </c>
      <c r="I50" s="8" t="s">
        <v>129</v>
      </c>
      <c r="J50" s="8" t="s">
        <v>130</v>
      </c>
      <c r="K50" s="8" t="s">
        <v>137</v>
      </c>
      <c r="L50" s="8" t="s">
        <v>138</v>
      </c>
      <c r="M50" s="8" t="s">
        <v>139</v>
      </c>
      <c r="N50" s="8" t="s">
        <v>140</v>
      </c>
      <c r="O50" s="8" t="s">
        <v>133</v>
      </c>
      <c r="P50" s="8" t="s">
        <v>134</v>
      </c>
      <c r="Q50" s="8" t="s">
        <v>141</v>
      </c>
      <c r="R50" s="8"/>
      <c r="T50" s="8" t="s">
        <v>27</v>
      </c>
      <c r="U50" s="8" t="s">
        <v>28</v>
      </c>
      <c r="V50" s="8" t="s">
        <v>27</v>
      </c>
      <c r="W50" s="8" t="s">
        <v>28</v>
      </c>
      <c r="Y50" s="22"/>
      <c r="Z50" s="8"/>
      <c r="AA50" s="22"/>
      <c r="AB50" s="8"/>
      <c r="AD50" s="8"/>
      <c r="AE50" s="8"/>
    </row>
    <row r="51" spans="3:31" x14ac:dyDescent="0.3">
      <c r="C51" s="9" t="str">
        <f t="shared" si="0"/>
        <v>Level 4</v>
      </c>
      <c r="D51" s="8" t="s">
        <v>136</v>
      </c>
      <c r="E51" s="8" t="s">
        <v>125</v>
      </c>
      <c r="F51" s="8" t="s">
        <v>126</v>
      </c>
      <c r="G51" s="8" t="s">
        <v>127</v>
      </c>
      <c r="H51" s="8" t="s">
        <v>128</v>
      </c>
      <c r="I51" s="8" t="s">
        <v>129</v>
      </c>
      <c r="J51" s="8" t="s">
        <v>130</v>
      </c>
      <c r="K51" s="8" t="s">
        <v>137</v>
      </c>
      <c r="L51" s="8" t="s">
        <v>138</v>
      </c>
      <c r="M51" s="8" t="s">
        <v>139</v>
      </c>
      <c r="N51" s="8" t="s">
        <v>140</v>
      </c>
      <c r="O51" s="8" t="s">
        <v>133</v>
      </c>
      <c r="P51" s="8" t="s">
        <v>134</v>
      </c>
      <c r="Q51" s="8" t="s">
        <v>141</v>
      </c>
      <c r="R51" s="8"/>
      <c r="T51" s="8" t="s">
        <v>27</v>
      </c>
      <c r="U51" s="8" t="s">
        <v>28</v>
      </c>
      <c r="V51" s="8" t="s">
        <v>27</v>
      </c>
      <c r="W51" s="8" t="s">
        <v>28</v>
      </c>
      <c r="Y51" s="22"/>
      <c r="Z51" s="8"/>
      <c r="AA51" s="22"/>
      <c r="AB51" s="8"/>
      <c r="AD51" s="8"/>
      <c r="AE51" s="8"/>
    </row>
    <row r="52" spans="3:31" x14ac:dyDescent="0.3">
      <c r="C52" s="9" t="str">
        <f t="shared" si="0"/>
        <v>Level 3</v>
      </c>
      <c r="D52" s="8" t="s">
        <v>136</v>
      </c>
      <c r="E52" s="8" t="s">
        <v>125</v>
      </c>
      <c r="F52" s="8" t="s">
        <v>126</v>
      </c>
      <c r="G52" s="8" t="s">
        <v>127</v>
      </c>
      <c r="H52" s="8" t="s">
        <v>128</v>
      </c>
      <c r="I52" s="8" t="s">
        <v>129</v>
      </c>
      <c r="J52" s="8" t="s">
        <v>130</v>
      </c>
      <c r="K52" s="8" t="s">
        <v>137</v>
      </c>
      <c r="L52" s="8" t="s">
        <v>138</v>
      </c>
      <c r="M52" s="8" t="s">
        <v>139</v>
      </c>
      <c r="N52" s="8" t="s">
        <v>140</v>
      </c>
      <c r="O52" s="8" t="s">
        <v>133</v>
      </c>
      <c r="P52" s="8" t="s">
        <v>134</v>
      </c>
      <c r="Q52" s="8" t="s">
        <v>141</v>
      </c>
      <c r="R52" s="8"/>
      <c r="T52" s="8" t="s">
        <v>27</v>
      </c>
      <c r="U52" s="8" t="s">
        <v>28</v>
      </c>
      <c r="V52" s="8" t="s">
        <v>27</v>
      </c>
      <c r="W52" s="8" t="s">
        <v>28</v>
      </c>
      <c r="Y52" s="22"/>
      <c r="Z52" s="8"/>
      <c r="AA52" s="22"/>
      <c r="AB52" s="8"/>
      <c r="AD52" s="8"/>
      <c r="AE52" s="8"/>
    </row>
    <row r="53" spans="3:31" x14ac:dyDescent="0.3">
      <c r="C53" s="9" t="str">
        <f t="shared" si="0"/>
        <v>Level 2</v>
      </c>
      <c r="D53" s="8" t="s">
        <v>136</v>
      </c>
      <c r="E53" s="8" t="s">
        <v>125</v>
      </c>
      <c r="F53" s="8" t="s">
        <v>126</v>
      </c>
      <c r="G53" s="8" t="s">
        <v>127</v>
      </c>
      <c r="H53" s="8" t="s">
        <v>128</v>
      </c>
      <c r="I53" s="8" t="s">
        <v>129</v>
      </c>
      <c r="J53" s="8" t="s">
        <v>130</v>
      </c>
      <c r="K53" s="8" t="s">
        <v>137</v>
      </c>
      <c r="L53" s="8" t="s">
        <v>138</v>
      </c>
      <c r="M53" s="8" t="s">
        <v>139</v>
      </c>
      <c r="N53" s="8" t="s">
        <v>140</v>
      </c>
      <c r="O53" s="8" t="s">
        <v>133</v>
      </c>
      <c r="P53" s="8" t="s">
        <v>134</v>
      </c>
      <c r="Q53" s="8" t="s">
        <v>141</v>
      </c>
      <c r="R53" s="8"/>
      <c r="T53" s="8" t="s">
        <v>27</v>
      </c>
      <c r="U53" s="8" t="s">
        <v>28</v>
      </c>
      <c r="V53" s="8" t="s">
        <v>27</v>
      </c>
      <c r="W53" s="8" t="s">
        <v>28</v>
      </c>
      <c r="Y53" s="22"/>
      <c r="Z53" s="8"/>
      <c r="AA53" s="22"/>
      <c r="AB53" s="8"/>
      <c r="AD53" s="8"/>
      <c r="AE53" s="8"/>
    </row>
    <row r="54" spans="3:31" x14ac:dyDescent="0.3">
      <c r="C54" s="9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T54" s="8"/>
      <c r="U54" s="8"/>
      <c r="V54" s="8"/>
      <c r="W54" s="8"/>
      <c r="Y54" s="10"/>
      <c r="Z54" s="8"/>
      <c r="AA54" s="10"/>
      <c r="AB54" s="8"/>
      <c r="AD54" s="8"/>
      <c r="AE54" s="8"/>
    </row>
    <row r="55" spans="3:31" x14ac:dyDescent="0.3">
      <c r="C55" s="9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T55" s="8"/>
      <c r="U55" s="8"/>
      <c r="V55" s="8"/>
      <c r="W55" s="8"/>
      <c r="Y55" s="10"/>
      <c r="Z55" s="8"/>
      <c r="AA55" s="10"/>
      <c r="AB55" s="8"/>
      <c r="AD55" s="8"/>
      <c r="AE55" s="8"/>
    </row>
    <row r="56" spans="3:31" x14ac:dyDescent="0.3">
      <c r="C56" s="9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T56" s="8"/>
      <c r="U56" s="8"/>
      <c r="V56" s="8"/>
      <c r="W56" s="8"/>
      <c r="Y56" s="10"/>
      <c r="Z56" s="8"/>
      <c r="AA56" s="10"/>
      <c r="AB56" s="8"/>
      <c r="AD56" s="8"/>
      <c r="AE56" s="8"/>
    </row>
    <row r="57" spans="3:31" x14ac:dyDescent="0.3">
      <c r="C57" s="9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T57" s="8"/>
      <c r="U57" s="8"/>
      <c r="V57" s="8"/>
      <c r="W57" s="8"/>
      <c r="Y57" s="10"/>
      <c r="Z57" s="8"/>
      <c r="AA57" s="10"/>
      <c r="AB57" s="8"/>
      <c r="AD57" s="8"/>
      <c r="AE57" s="8"/>
    </row>
    <row r="58" spans="3:31" x14ac:dyDescent="0.3">
      <c r="C58" s="9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T58" s="8"/>
      <c r="U58" s="8"/>
      <c r="V58" s="8"/>
      <c r="W58" s="8"/>
      <c r="Y58" s="10"/>
      <c r="Z58" s="8"/>
      <c r="AA58" s="10"/>
      <c r="AB58" s="8"/>
      <c r="AD58" s="8"/>
      <c r="AE58" s="8"/>
    </row>
    <row r="59" spans="3:31" x14ac:dyDescent="0.3">
      <c r="C59" s="9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T59" s="8"/>
      <c r="U59" s="8"/>
      <c r="V59" s="8"/>
      <c r="W59" s="8"/>
      <c r="Y59" s="10"/>
      <c r="Z59" s="8"/>
      <c r="AA59" s="10"/>
      <c r="AB59" s="8"/>
      <c r="AD59" s="8"/>
      <c r="AE59" s="8"/>
    </row>
    <row r="60" spans="3:31" x14ac:dyDescent="0.3">
      <c r="C60" s="9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T60" s="8"/>
      <c r="U60" s="8"/>
      <c r="V60" s="8"/>
      <c r="W60" s="8"/>
      <c r="Y60" s="10"/>
      <c r="Z60" s="8"/>
      <c r="AA60" s="10"/>
      <c r="AB60" s="8"/>
      <c r="AD60" s="8"/>
      <c r="AE60" s="8"/>
    </row>
    <row r="61" spans="3:31" x14ac:dyDescent="0.3">
      <c r="C61" s="9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T61" s="8"/>
      <c r="U61" s="8"/>
      <c r="V61" s="8"/>
      <c r="W61" s="8"/>
      <c r="Y61" s="10"/>
      <c r="Z61" s="8"/>
      <c r="AA61" s="10"/>
      <c r="AB61" s="8"/>
      <c r="AD61" s="8"/>
      <c r="AE61" s="8"/>
    </row>
    <row r="62" spans="3:31" x14ac:dyDescent="0.3">
      <c r="C62" s="9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T62" s="8"/>
      <c r="U62" s="8"/>
      <c r="V62" s="8"/>
      <c r="W62" s="8"/>
      <c r="Y62" s="10"/>
      <c r="Z62" s="8"/>
      <c r="AA62" s="10"/>
      <c r="AB62" s="8"/>
      <c r="AD62" s="8"/>
      <c r="AE62" s="8"/>
    </row>
    <row r="63" spans="3:31" x14ac:dyDescent="0.3">
      <c r="C63" s="9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T63" s="8"/>
      <c r="U63" s="8"/>
      <c r="V63" s="8"/>
      <c r="W63" s="8"/>
      <c r="Y63" s="10"/>
      <c r="Z63" s="8"/>
      <c r="AA63" s="10"/>
      <c r="AB63" s="8"/>
      <c r="AD63" s="8"/>
      <c r="AE63" s="8"/>
    </row>
    <row r="64" spans="3:31" x14ac:dyDescent="0.3">
      <c r="C64" s="9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T64" s="8"/>
      <c r="U64" s="8"/>
      <c r="V64" s="8"/>
      <c r="W64" s="8"/>
      <c r="Y64" s="10"/>
      <c r="Z64" s="8"/>
      <c r="AA64" s="10"/>
      <c r="AB64" s="8"/>
      <c r="AD64" s="8"/>
      <c r="AE64" s="8"/>
    </row>
    <row r="65" spans="2:31" x14ac:dyDescent="0.3">
      <c r="C65" s="9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T65" s="8"/>
      <c r="U65" s="8"/>
      <c r="V65" s="8"/>
      <c r="W65" s="8"/>
      <c r="Y65" s="10"/>
      <c r="Z65" s="8"/>
      <c r="AA65" s="10"/>
      <c r="AB65" s="8"/>
      <c r="AD65" s="8"/>
      <c r="AE65" s="8"/>
    </row>
    <row r="66" spans="2:31" x14ac:dyDescent="0.3">
      <c r="C66" s="9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T66" s="8"/>
      <c r="U66" s="8"/>
      <c r="V66" s="8"/>
      <c r="W66" s="8"/>
      <c r="Y66" s="10"/>
      <c r="Z66" s="8"/>
      <c r="AA66" s="10"/>
      <c r="AB66" s="8"/>
      <c r="AD66" s="8"/>
      <c r="AE66" s="8"/>
    </row>
    <row r="67" spans="2:31" x14ac:dyDescent="0.3">
      <c r="C67" s="9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T67" s="8"/>
      <c r="U67" s="8"/>
      <c r="V67" s="8"/>
      <c r="W67" s="8"/>
      <c r="Y67" s="10"/>
      <c r="Z67" s="8"/>
      <c r="AA67" s="10"/>
      <c r="AB67" s="8"/>
      <c r="AD67" s="8"/>
      <c r="AE67" s="8"/>
    </row>
    <row r="68" spans="2:31" x14ac:dyDescent="0.3">
      <c r="C68" s="9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T68" s="8"/>
      <c r="U68" s="8"/>
      <c r="V68" s="8"/>
      <c r="W68" s="8"/>
      <c r="Y68" s="10"/>
      <c r="Z68" s="8"/>
      <c r="AA68" s="10"/>
      <c r="AB68" s="8"/>
      <c r="AD68" s="8"/>
      <c r="AE68" s="8"/>
    </row>
    <row r="69" spans="2:31" x14ac:dyDescent="0.3">
      <c r="C69" s="9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T69" s="8"/>
      <c r="U69" s="8"/>
      <c r="V69" s="8"/>
      <c r="W69" s="8"/>
      <c r="Y69" s="10"/>
      <c r="Z69" s="8"/>
      <c r="AA69" s="10"/>
      <c r="AB69" s="8"/>
      <c r="AD69" s="8"/>
      <c r="AE69" s="8"/>
    </row>
    <row r="70" spans="2:31" x14ac:dyDescent="0.3">
      <c r="C70" s="9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T70" s="8"/>
      <c r="U70" s="8"/>
      <c r="V70" s="8"/>
      <c r="W70" s="8"/>
      <c r="Y70" s="10"/>
      <c r="Z70" s="8"/>
      <c r="AA70" s="10"/>
      <c r="AB70" s="8"/>
      <c r="AD70" s="8"/>
      <c r="AE70" s="8"/>
    </row>
    <row r="71" spans="2:31" x14ac:dyDescent="0.3">
      <c r="C71" s="9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T71" s="8"/>
      <c r="U71" s="8"/>
      <c r="V71" s="8"/>
      <c r="W71" s="8"/>
      <c r="Y71" s="10"/>
      <c r="Z71" s="8"/>
      <c r="AA71" s="10"/>
      <c r="AB71" s="8"/>
      <c r="AD71" s="8"/>
      <c r="AE71" s="8"/>
    </row>
    <row r="72" spans="2:31" x14ac:dyDescent="0.3">
      <c r="C72" s="9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T72" s="8"/>
      <c r="U72" s="8"/>
      <c r="V72" s="8"/>
      <c r="W72" s="8"/>
      <c r="Y72" s="10"/>
      <c r="Z72" s="8"/>
      <c r="AA72" s="10"/>
      <c r="AB72" s="8"/>
      <c r="AD72" s="8"/>
      <c r="AE72" s="8"/>
    </row>
    <row r="73" spans="2:31" x14ac:dyDescent="0.3">
      <c r="C73" s="9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T73" s="8"/>
      <c r="U73" s="8"/>
      <c r="V73" s="8"/>
      <c r="W73" s="8"/>
      <c r="Y73" s="10"/>
      <c r="Z73" s="8"/>
      <c r="AA73" s="10"/>
      <c r="AB73" s="8"/>
      <c r="AD73" s="8"/>
      <c r="AE73" s="8"/>
    </row>
    <row r="75" spans="2:31" ht="15.6" x14ac:dyDescent="0.3">
      <c r="B75" s="4" t="s">
        <v>62</v>
      </c>
    </row>
    <row r="76" spans="2:31" x14ac:dyDescent="0.3">
      <c r="E76" s="1" t="s">
        <v>64</v>
      </c>
      <c r="F76" s="25" t="s">
        <v>63</v>
      </c>
      <c r="G76" s="26"/>
      <c r="H76" s="27"/>
    </row>
    <row r="77" spans="2:31" x14ac:dyDescent="0.3">
      <c r="E77" s="1" t="s">
        <v>65</v>
      </c>
      <c r="F77" s="25" t="s">
        <v>66</v>
      </c>
      <c r="G77" s="26"/>
      <c r="H77" s="27"/>
    </row>
    <row r="78" spans="2:31" x14ac:dyDescent="0.3">
      <c r="E78" s="1" t="s">
        <v>67</v>
      </c>
      <c r="F78" s="28" t="b">
        <v>1</v>
      </c>
      <c r="G78" s="29"/>
      <c r="H78" s="30"/>
    </row>
    <row r="79" spans="2:31" x14ac:dyDescent="0.3">
      <c r="E79" s="1" t="s">
        <v>68</v>
      </c>
      <c r="F79" s="25">
        <v>2</v>
      </c>
      <c r="G79" s="26"/>
      <c r="H79" s="27"/>
    </row>
    <row r="81" spans="2:13" ht="15.6" x14ac:dyDescent="0.3">
      <c r="B81" s="4" t="s">
        <v>74</v>
      </c>
    </row>
    <row r="82" spans="2:13" x14ac:dyDescent="0.3">
      <c r="E82" s="1" t="s">
        <v>71</v>
      </c>
      <c r="F82" s="24" t="s">
        <v>72</v>
      </c>
      <c r="G82" s="24"/>
      <c r="H82" s="24"/>
      <c r="I82" s="24"/>
      <c r="J82" s="24"/>
      <c r="K82" s="24"/>
      <c r="L82" s="24"/>
      <c r="M82" s="24"/>
    </row>
    <row r="83" spans="2:13" x14ac:dyDescent="0.3">
      <c r="E83" s="1" t="s">
        <v>73</v>
      </c>
      <c r="F83" s="24" t="s">
        <v>75</v>
      </c>
      <c r="G83" s="24"/>
      <c r="H83" s="24"/>
      <c r="I83" s="24"/>
      <c r="J83" s="24"/>
      <c r="K83" s="24"/>
      <c r="L83" s="24"/>
      <c r="M83" s="24"/>
    </row>
    <row r="86" spans="2:13" x14ac:dyDescent="0.3">
      <c r="L86" t="s">
        <v>143</v>
      </c>
    </row>
    <row r="90" spans="2:13" x14ac:dyDescent="0.3">
      <c r="L90" t="s">
        <v>144</v>
      </c>
    </row>
    <row r="95" spans="2:13" x14ac:dyDescent="0.3">
      <c r="C95" t="s">
        <v>145</v>
      </c>
    </row>
    <row r="96" spans="2:13" x14ac:dyDescent="0.3">
      <c r="D96" t="s">
        <v>146</v>
      </c>
    </row>
    <row r="97" spans="4:4" x14ac:dyDescent="0.3">
      <c r="D97" t="s">
        <v>147</v>
      </c>
    </row>
    <row r="98" spans="4:4" x14ac:dyDescent="0.3">
      <c r="D98" t="s">
        <v>149</v>
      </c>
    </row>
    <row r="99" spans="4:4" x14ac:dyDescent="0.3">
      <c r="D99" t="s">
        <v>148</v>
      </c>
    </row>
    <row r="100" spans="4:4" x14ac:dyDescent="0.3">
      <c r="D100" t="s">
        <v>150</v>
      </c>
    </row>
  </sheetData>
  <mergeCells count="45">
    <mergeCell ref="T5:U5"/>
    <mergeCell ref="V5:W5"/>
    <mergeCell ref="AD35:AE35"/>
    <mergeCell ref="D35:R35"/>
    <mergeCell ref="T36:U36"/>
    <mergeCell ref="V36:W36"/>
    <mergeCell ref="N5:Q5"/>
    <mergeCell ref="I32:M32"/>
    <mergeCell ref="I28:M28"/>
    <mergeCell ref="I29:M29"/>
    <mergeCell ref="I30:M30"/>
    <mergeCell ref="I6:M6"/>
    <mergeCell ref="I7:M7"/>
    <mergeCell ref="I31:M31"/>
    <mergeCell ref="I22:M22"/>
    <mergeCell ref="I23:M23"/>
    <mergeCell ref="I26:M26"/>
    <mergeCell ref="I27:M27"/>
    <mergeCell ref="I16:M16"/>
    <mergeCell ref="C35:C36"/>
    <mergeCell ref="Y35:AB35"/>
    <mergeCell ref="Y36:Z36"/>
    <mergeCell ref="AA36:AB36"/>
    <mergeCell ref="T35:W35"/>
    <mergeCell ref="I8:M8"/>
    <mergeCell ref="I9:M9"/>
    <mergeCell ref="I10:M10"/>
    <mergeCell ref="I11:M11"/>
    <mergeCell ref="I12:M12"/>
    <mergeCell ref="I13:M13"/>
    <mergeCell ref="I14:M14"/>
    <mergeCell ref="I15:M15"/>
    <mergeCell ref="F82:M82"/>
    <mergeCell ref="F83:M83"/>
    <mergeCell ref="I18:M18"/>
    <mergeCell ref="I19:M19"/>
    <mergeCell ref="I20:M20"/>
    <mergeCell ref="I21:M21"/>
    <mergeCell ref="I17:M17"/>
    <mergeCell ref="F76:H76"/>
    <mergeCell ref="F77:H77"/>
    <mergeCell ref="F78:H78"/>
    <mergeCell ref="F79:H79"/>
    <mergeCell ref="I24:M24"/>
    <mergeCell ref="I25:M25"/>
  </mergeCells>
  <phoneticPr fontId="9" type="noConversion"/>
  <conditionalFormatting sqref="T8:T32">
    <cfRule type="expression" dxfId="1" priority="2">
      <formula>$U8&lt;&gt;""</formula>
    </cfRule>
  </conditionalFormatting>
  <conditionalFormatting sqref="V8:V32">
    <cfRule type="expression" dxfId="0" priority="1">
      <formula>$W8&lt;&gt;""</formula>
    </cfRule>
  </conditionalFormatting>
  <dataValidations count="6">
    <dataValidation type="list" allowBlank="1" showInputMessage="1" showErrorMessage="1" sqref="AD8:AD32" xr:uid="{75A29D22-1BB6-453D-A5EE-DA63820B5792}">
      <formula1>"EW,NS"</formula1>
    </dataValidation>
    <dataValidation type="list" allowBlank="1" showInputMessage="1" showErrorMessage="1" sqref="AJ38:AJ53 AH38:AH53" xr:uid="{5531DA81-15C3-4EDE-9E88-9DF6240D4446}">
      <formula1>"/, \, X, V, Chevron"</formula1>
    </dataValidation>
    <dataValidation type="list" allowBlank="1" showInputMessage="1" showErrorMessage="1" sqref="F76" xr:uid="{30C77615-4141-49F0-88E5-2E9EBDB6394A}">
      <formula1>"Rigid,Semi-Rigid"</formula1>
    </dataValidation>
    <dataValidation type="list" allowBlank="1" showInputMessage="1" showErrorMessage="1" sqref="F77:H77" xr:uid="{71A0B65D-4811-434A-BD9C-16BCA61AC3B7}">
      <formula1>"Fixed,Pinned"</formula1>
    </dataValidation>
    <dataValidation type="list" allowBlank="1" showInputMessage="1" showErrorMessage="1" sqref="F79:H79" xr:uid="{2B0858B1-3E9F-44FA-815E-8FB029A185C6}">
      <formula1>"0,1,2,3,4"</formula1>
    </dataValidation>
    <dataValidation type="list" allowBlank="1" showInputMessage="1" showErrorMessage="1" sqref="Z38:Z73 AB38:AB73" xr:uid="{8F2E232B-8178-456D-BAB7-5A136D73119C}">
      <formula1>"SingleA (/), SingleB (\), X, V, Chevron"</formula1>
    </dataValidation>
  </dataValidations>
  <pageMargins left="0.7" right="0.7" top="0.75" bottom="0.75" header="0.3" footer="0.3"/>
  <ignoredErrors>
    <ignoredError sqref="T8:T32" numberStoredAsText="1"/>
    <ignoredError sqref="E9:E32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9" r:id="rId3" name="Button 43">
              <controlPr defaultSize="0" print="0" autoFill="0" autoPict="0" macro="[0]!runAnalysis">
                <anchor moveWithCells="1" sizeWithCells="1">
                  <from>
                    <xdr:col>4</xdr:col>
                    <xdr:colOff>624840</xdr:colOff>
                    <xdr:row>83</xdr:row>
                    <xdr:rowOff>152400</xdr:rowOff>
                  </from>
                  <to>
                    <xdr:col>10</xdr:col>
                    <xdr:colOff>487680</xdr:colOff>
                    <xdr:row>87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4" name="Button 52">
              <controlPr defaultSize="0" print="0" autoFill="0" autoPict="0" macro="[0]!updateSections">
                <anchor moveWithCells="1" sizeWithCells="1">
                  <from>
                    <xdr:col>4</xdr:col>
                    <xdr:colOff>624840</xdr:colOff>
                    <xdr:row>88</xdr:row>
                    <xdr:rowOff>53340</xdr:rowOff>
                  </from>
                  <to>
                    <xdr:col>10</xdr:col>
                    <xdr:colOff>472440</xdr:colOff>
                    <xdr:row>90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Wang</dc:creator>
  <cp:lastModifiedBy>Robert Wang</cp:lastModifiedBy>
  <cp:lastPrinted>2025-07-15T00:01:02Z</cp:lastPrinted>
  <dcterms:created xsi:type="dcterms:W3CDTF">2024-10-31T21:36:44Z</dcterms:created>
  <dcterms:modified xsi:type="dcterms:W3CDTF">2025-08-13T18:53:21Z</dcterms:modified>
</cp:coreProperties>
</file>